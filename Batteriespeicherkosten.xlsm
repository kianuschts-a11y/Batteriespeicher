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Pfleiderer\Desktop\Projekte\Batteriespeicher Kalkulator - C-Rate\"/>
    </mc:Choice>
  </mc:AlternateContent>
  <bookViews>
    <workbookView xWindow="0" yWindow="0" windowWidth="23040" windowHeight="9072"/>
  </bookViews>
  <sheets>
    <sheet name="Tabelle1" sheetId="1" r:id="rId1"/>
    <sheet name="Tabelle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1" l="1"/>
  <c r="F33" i="1" s="1"/>
  <c r="B44" i="1" l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34" i="1"/>
  <c r="B35" i="1"/>
  <c r="B36" i="1"/>
  <c r="B37" i="1"/>
  <c r="B38" i="1"/>
  <c r="B39" i="1"/>
  <c r="B40" i="1"/>
  <c r="B41" i="1"/>
  <c r="B42" i="1"/>
  <c r="B43" i="1"/>
  <c r="B33" i="1"/>
  <c r="D33" i="1" s="1"/>
  <c r="A34" i="1"/>
  <c r="A35" i="1" l="1"/>
  <c r="E35" i="1" s="1"/>
  <c r="F35" i="1" s="1"/>
  <c r="E34" i="1"/>
  <c r="F34" i="1" s="1"/>
  <c r="A36" i="1"/>
  <c r="E36" i="1" s="1"/>
  <c r="F36" i="1" s="1"/>
  <c r="C35" i="1"/>
  <c r="D35" i="1"/>
  <c r="C34" i="1"/>
  <c r="C33" i="1"/>
  <c r="D34" i="1"/>
  <c r="A37" i="1" l="1"/>
  <c r="E37" i="1" s="1"/>
  <c r="F37" i="1" s="1"/>
  <c r="D36" i="1"/>
  <c r="C36" i="1"/>
  <c r="A38" i="1" l="1"/>
  <c r="E38" i="1" s="1"/>
  <c r="F38" i="1" s="1"/>
  <c r="D37" i="1"/>
  <c r="C37" i="1"/>
  <c r="A39" i="1" l="1"/>
  <c r="E39" i="1" s="1"/>
  <c r="F39" i="1" s="1"/>
  <c r="C38" i="1"/>
  <c r="D38" i="1"/>
  <c r="A40" i="1" l="1"/>
  <c r="E40" i="1" s="1"/>
  <c r="F40" i="1" s="1"/>
  <c r="D39" i="1"/>
  <c r="C39" i="1"/>
  <c r="A41" i="1" l="1"/>
  <c r="E41" i="1" s="1"/>
  <c r="F41" i="1" s="1"/>
  <c r="D40" i="1"/>
  <c r="C40" i="1"/>
  <c r="A42" i="1" l="1"/>
  <c r="E42" i="1" s="1"/>
  <c r="F42" i="1" s="1"/>
  <c r="D41" i="1"/>
  <c r="C41" i="1"/>
  <c r="A43" i="1" l="1"/>
  <c r="E43" i="1" s="1"/>
  <c r="F43" i="1" s="1"/>
  <c r="D42" i="1"/>
  <c r="C42" i="1"/>
  <c r="A44" i="1" l="1"/>
  <c r="E44" i="1" s="1"/>
  <c r="F44" i="1" s="1"/>
  <c r="D43" i="1"/>
  <c r="C43" i="1"/>
  <c r="A45" i="1" l="1"/>
  <c r="E45" i="1" s="1"/>
  <c r="F45" i="1" s="1"/>
  <c r="D44" i="1"/>
  <c r="C44" i="1"/>
  <c r="A46" i="1" l="1"/>
  <c r="E46" i="1" s="1"/>
  <c r="F46" i="1" s="1"/>
  <c r="D45" i="1"/>
  <c r="C45" i="1"/>
  <c r="A47" i="1" l="1"/>
  <c r="E47" i="1" s="1"/>
  <c r="F47" i="1" s="1"/>
  <c r="D46" i="1"/>
  <c r="C46" i="1"/>
  <c r="A48" i="1" l="1"/>
  <c r="E48" i="1" s="1"/>
  <c r="F48" i="1" s="1"/>
  <c r="D47" i="1"/>
  <c r="C47" i="1"/>
  <c r="A49" i="1" l="1"/>
  <c r="E49" i="1" s="1"/>
  <c r="F49" i="1" s="1"/>
  <c r="D48" i="1"/>
  <c r="C48" i="1"/>
  <c r="A50" i="1" l="1"/>
  <c r="E50" i="1" s="1"/>
  <c r="F50" i="1" s="1"/>
  <c r="D49" i="1"/>
  <c r="C49" i="1"/>
  <c r="A51" i="1" l="1"/>
  <c r="E51" i="1" s="1"/>
  <c r="F51" i="1" s="1"/>
  <c r="D50" i="1"/>
  <c r="C50" i="1"/>
  <c r="A52" i="1" l="1"/>
  <c r="E52" i="1" s="1"/>
  <c r="F52" i="1" s="1"/>
  <c r="D51" i="1"/>
  <c r="C51" i="1"/>
  <c r="A53" i="1" l="1"/>
  <c r="E53" i="1" s="1"/>
  <c r="F53" i="1" s="1"/>
  <c r="D52" i="1"/>
  <c r="C52" i="1"/>
  <c r="A54" i="1" l="1"/>
  <c r="E54" i="1" s="1"/>
  <c r="F54" i="1" s="1"/>
  <c r="D53" i="1"/>
  <c r="C53" i="1"/>
  <c r="A55" i="1" l="1"/>
  <c r="E55" i="1" s="1"/>
  <c r="F55" i="1" s="1"/>
  <c r="D54" i="1"/>
  <c r="C54" i="1"/>
  <c r="A56" i="1" l="1"/>
  <c r="E56" i="1" s="1"/>
  <c r="F56" i="1" s="1"/>
  <c r="D55" i="1"/>
  <c r="C55" i="1"/>
  <c r="A57" i="1" l="1"/>
  <c r="E57" i="1" s="1"/>
  <c r="F57" i="1" s="1"/>
  <c r="D56" i="1"/>
  <c r="C56" i="1"/>
  <c r="A58" i="1" l="1"/>
  <c r="E58" i="1" s="1"/>
  <c r="F58" i="1" s="1"/>
  <c r="D57" i="1"/>
  <c r="C57" i="1"/>
  <c r="A59" i="1" l="1"/>
  <c r="E59" i="1" s="1"/>
  <c r="F59" i="1" s="1"/>
  <c r="D58" i="1"/>
  <c r="C58" i="1"/>
  <c r="A60" i="1" l="1"/>
  <c r="E60" i="1" s="1"/>
  <c r="F60" i="1" s="1"/>
  <c r="D59" i="1"/>
  <c r="C59" i="1"/>
  <c r="A61" i="1" l="1"/>
  <c r="E61" i="1" s="1"/>
  <c r="F61" i="1" s="1"/>
  <c r="D60" i="1"/>
  <c r="C60" i="1"/>
  <c r="A62" i="1" l="1"/>
  <c r="E62" i="1" s="1"/>
  <c r="F62" i="1" s="1"/>
  <c r="D61" i="1"/>
  <c r="C61" i="1"/>
  <c r="A63" i="1" l="1"/>
  <c r="E63" i="1" s="1"/>
  <c r="F63" i="1" s="1"/>
  <c r="D62" i="1"/>
  <c r="C62" i="1"/>
  <c r="A64" i="1" l="1"/>
  <c r="E64" i="1" s="1"/>
  <c r="F64" i="1" s="1"/>
  <c r="D63" i="1"/>
  <c r="C63" i="1"/>
  <c r="A65" i="1" l="1"/>
  <c r="E65" i="1" s="1"/>
  <c r="F65" i="1" s="1"/>
  <c r="D64" i="1"/>
  <c r="C64" i="1"/>
  <c r="A66" i="1" l="1"/>
  <c r="E66" i="1" s="1"/>
  <c r="F66" i="1" s="1"/>
  <c r="D65" i="1"/>
  <c r="C65" i="1"/>
  <c r="A67" i="1" l="1"/>
  <c r="E67" i="1" s="1"/>
  <c r="F67" i="1" s="1"/>
  <c r="D66" i="1"/>
  <c r="C66" i="1"/>
  <c r="A68" i="1" l="1"/>
  <c r="E68" i="1" s="1"/>
  <c r="F68" i="1" s="1"/>
  <c r="D67" i="1"/>
  <c r="C67" i="1"/>
  <c r="A69" i="1" l="1"/>
  <c r="E69" i="1" s="1"/>
  <c r="F69" i="1" s="1"/>
  <c r="D68" i="1"/>
  <c r="C68" i="1"/>
  <c r="A70" i="1" l="1"/>
  <c r="E70" i="1" s="1"/>
  <c r="F70" i="1" s="1"/>
  <c r="D69" i="1"/>
  <c r="C69" i="1"/>
  <c r="A71" i="1" l="1"/>
  <c r="E71" i="1" s="1"/>
  <c r="F71" i="1" s="1"/>
  <c r="D70" i="1"/>
  <c r="C70" i="1"/>
  <c r="A72" i="1" l="1"/>
  <c r="E72" i="1" s="1"/>
  <c r="F72" i="1" s="1"/>
  <c r="D71" i="1"/>
  <c r="C71" i="1"/>
  <c r="A73" i="1" l="1"/>
  <c r="E73" i="1" s="1"/>
  <c r="F73" i="1" s="1"/>
  <c r="D72" i="1"/>
  <c r="C72" i="1"/>
  <c r="A74" i="1" l="1"/>
  <c r="E74" i="1" s="1"/>
  <c r="F74" i="1" s="1"/>
  <c r="D73" i="1"/>
  <c r="C73" i="1"/>
  <c r="A75" i="1" l="1"/>
  <c r="E75" i="1" s="1"/>
  <c r="F75" i="1" s="1"/>
  <c r="D74" i="1"/>
  <c r="C74" i="1"/>
  <c r="A76" i="1" l="1"/>
  <c r="E76" i="1" s="1"/>
  <c r="F76" i="1" s="1"/>
  <c r="D75" i="1"/>
  <c r="C75" i="1"/>
  <c r="A77" i="1" l="1"/>
  <c r="E77" i="1" s="1"/>
  <c r="F77" i="1" s="1"/>
  <c r="D76" i="1"/>
  <c r="C76" i="1"/>
  <c r="A78" i="1" l="1"/>
  <c r="E78" i="1" s="1"/>
  <c r="F78" i="1" s="1"/>
  <c r="D77" i="1"/>
  <c r="C77" i="1"/>
  <c r="A79" i="1" l="1"/>
  <c r="E79" i="1" s="1"/>
  <c r="F79" i="1" s="1"/>
  <c r="D78" i="1"/>
  <c r="C78" i="1"/>
  <c r="A80" i="1" l="1"/>
  <c r="E80" i="1" s="1"/>
  <c r="F80" i="1" s="1"/>
  <c r="D79" i="1"/>
  <c r="C79" i="1"/>
  <c r="A81" i="1" l="1"/>
  <c r="E81" i="1" s="1"/>
  <c r="F81" i="1" s="1"/>
  <c r="D80" i="1"/>
  <c r="C80" i="1"/>
  <c r="A82" i="1" l="1"/>
  <c r="E82" i="1" s="1"/>
  <c r="F82" i="1" s="1"/>
  <c r="D81" i="1"/>
  <c r="C81" i="1"/>
  <c r="A83" i="1" l="1"/>
  <c r="E83" i="1" s="1"/>
  <c r="F83" i="1" s="1"/>
  <c r="C82" i="1"/>
  <c r="D82" i="1"/>
  <c r="A84" i="1" l="1"/>
  <c r="E84" i="1" s="1"/>
  <c r="F84" i="1" s="1"/>
  <c r="D83" i="1"/>
  <c r="C83" i="1"/>
  <c r="A85" i="1" l="1"/>
  <c r="E85" i="1" s="1"/>
  <c r="F85" i="1" s="1"/>
  <c r="D84" i="1"/>
  <c r="C84" i="1"/>
  <c r="A86" i="1" l="1"/>
  <c r="E86" i="1" s="1"/>
  <c r="F86" i="1" s="1"/>
  <c r="D85" i="1"/>
  <c r="C85" i="1"/>
  <c r="A87" i="1" l="1"/>
  <c r="E87" i="1" s="1"/>
  <c r="F87" i="1" s="1"/>
  <c r="D86" i="1"/>
  <c r="C86" i="1"/>
  <c r="A88" i="1" l="1"/>
  <c r="E88" i="1" s="1"/>
  <c r="F88" i="1" s="1"/>
  <c r="D87" i="1"/>
  <c r="C87" i="1"/>
  <c r="A89" i="1" l="1"/>
  <c r="E89" i="1" s="1"/>
  <c r="F89" i="1" s="1"/>
  <c r="D88" i="1"/>
  <c r="C88" i="1"/>
  <c r="A90" i="1" l="1"/>
  <c r="E90" i="1" s="1"/>
  <c r="F90" i="1" s="1"/>
  <c r="D89" i="1"/>
  <c r="C89" i="1"/>
  <c r="A91" i="1" l="1"/>
  <c r="E91" i="1" s="1"/>
  <c r="F91" i="1" s="1"/>
  <c r="D90" i="1"/>
  <c r="C90" i="1"/>
  <c r="A92" i="1" l="1"/>
  <c r="E92" i="1" s="1"/>
  <c r="F92" i="1" s="1"/>
  <c r="D91" i="1"/>
  <c r="C91" i="1"/>
  <c r="A93" i="1" l="1"/>
  <c r="E93" i="1" s="1"/>
  <c r="F93" i="1" s="1"/>
  <c r="D92" i="1"/>
  <c r="C92" i="1"/>
  <c r="A94" i="1" l="1"/>
  <c r="E94" i="1" s="1"/>
  <c r="F94" i="1" s="1"/>
  <c r="D93" i="1"/>
  <c r="C93" i="1"/>
  <c r="A95" i="1" l="1"/>
  <c r="E95" i="1" s="1"/>
  <c r="F95" i="1" s="1"/>
  <c r="D94" i="1"/>
  <c r="C94" i="1"/>
  <c r="A96" i="1" l="1"/>
  <c r="E96" i="1" s="1"/>
  <c r="F96" i="1" s="1"/>
  <c r="D95" i="1"/>
  <c r="C95" i="1"/>
  <c r="A97" i="1" l="1"/>
  <c r="E97" i="1" s="1"/>
  <c r="F97" i="1" s="1"/>
  <c r="D96" i="1"/>
  <c r="C96" i="1"/>
  <c r="A98" i="1" l="1"/>
  <c r="E98" i="1" s="1"/>
  <c r="F98" i="1" s="1"/>
  <c r="D97" i="1"/>
  <c r="C97" i="1"/>
  <c r="A99" i="1" l="1"/>
  <c r="E99" i="1" s="1"/>
  <c r="F99" i="1" s="1"/>
  <c r="D98" i="1"/>
  <c r="C98" i="1"/>
  <c r="A100" i="1" l="1"/>
  <c r="E100" i="1" s="1"/>
  <c r="F100" i="1" s="1"/>
  <c r="C99" i="1"/>
  <c r="D99" i="1"/>
  <c r="A101" i="1" l="1"/>
  <c r="E101" i="1" s="1"/>
  <c r="F101" i="1" s="1"/>
  <c r="D100" i="1"/>
  <c r="C100" i="1"/>
  <c r="A102" i="1" l="1"/>
  <c r="E102" i="1" s="1"/>
  <c r="F102" i="1" s="1"/>
  <c r="D101" i="1"/>
  <c r="C101" i="1"/>
  <c r="A103" i="1" l="1"/>
  <c r="E103" i="1" s="1"/>
  <c r="F103" i="1" s="1"/>
  <c r="C102" i="1"/>
  <c r="D102" i="1"/>
  <c r="A104" i="1" l="1"/>
  <c r="E104" i="1" s="1"/>
  <c r="F104" i="1" s="1"/>
  <c r="D103" i="1"/>
  <c r="C103" i="1"/>
  <c r="A105" i="1" l="1"/>
  <c r="E105" i="1" s="1"/>
  <c r="F105" i="1" s="1"/>
  <c r="D104" i="1"/>
  <c r="C104" i="1"/>
  <c r="A106" i="1" l="1"/>
  <c r="E106" i="1" s="1"/>
  <c r="F106" i="1" s="1"/>
  <c r="D105" i="1"/>
  <c r="C105" i="1"/>
  <c r="A107" i="1" l="1"/>
  <c r="E107" i="1" s="1"/>
  <c r="F107" i="1" s="1"/>
  <c r="D106" i="1"/>
  <c r="C106" i="1"/>
  <c r="A108" i="1" l="1"/>
  <c r="E108" i="1" s="1"/>
  <c r="F108" i="1" s="1"/>
  <c r="D107" i="1"/>
  <c r="C107" i="1"/>
  <c r="A109" i="1" l="1"/>
  <c r="E109" i="1" s="1"/>
  <c r="F109" i="1" s="1"/>
  <c r="D108" i="1"/>
  <c r="C108" i="1"/>
  <c r="A110" i="1" l="1"/>
  <c r="E110" i="1" s="1"/>
  <c r="F110" i="1" s="1"/>
  <c r="D109" i="1"/>
  <c r="C109" i="1"/>
  <c r="A111" i="1" l="1"/>
  <c r="E111" i="1" s="1"/>
  <c r="F111" i="1" s="1"/>
  <c r="D110" i="1"/>
  <c r="C110" i="1"/>
  <c r="A112" i="1" l="1"/>
  <c r="E112" i="1" s="1"/>
  <c r="F112" i="1" s="1"/>
  <c r="D111" i="1"/>
  <c r="C111" i="1"/>
  <c r="A113" i="1" l="1"/>
  <c r="E113" i="1" s="1"/>
  <c r="F113" i="1" s="1"/>
  <c r="D112" i="1"/>
  <c r="C112" i="1"/>
  <c r="A114" i="1" l="1"/>
  <c r="E114" i="1" s="1"/>
  <c r="F114" i="1" s="1"/>
  <c r="D113" i="1"/>
  <c r="C113" i="1"/>
  <c r="A115" i="1" l="1"/>
  <c r="E115" i="1" s="1"/>
  <c r="F115" i="1" s="1"/>
  <c r="D114" i="1"/>
  <c r="C114" i="1"/>
  <c r="A116" i="1" l="1"/>
  <c r="E116" i="1" s="1"/>
  <c r="F116" i="1" s="1"/>
  <c r="D115" i="1"/>
  <c r="C115" i="1"/>
  <c r="A117" i="1" l="1"/>
  <c r="E117" i="1" s="1"/>
  <c r="F117" i="1" s="1"/>
  <c r="D116" i="1"/>
  <c r="C116" i="1"/>
  <c r="A118" i="1" l="1"/>
  <c r="E118" i="1" s="1"/>
  <c r="F118" i="1" s="1"/>
  <c r="D117" i="1"/>
  <c r="C117" i="1"/>
  <c r="A119" i="1" l="1"/>
  <c r="E119" i="1" s="1"/>
  <c r="F119" i="1" s="1"/>
  <c r="D118" i="1"/>
  <c r="C118" i="1"/>
  <c r="A120" i="1" l="1"/>
  <c r="E120" i="1" s="1"/>
  <c r="F120" i="1" s="1"/>
  <c r="D119" i="1"/>
  <c r="C119" i="1"/>
  <c r="A121" i="1" l="1"/>
  <c r="E121" i="1" s="1"/>
  <c r="F121" i="1" s="1"/>
  <c r="D120" i="1"/>
  <c r="C120" i="1"/>
  <c r="A122" i="1" l="1"/>
  <c r="E122" i="1" s="1"/>
  <c r="F122" i="1" s="1"/>
  <c r="D121" i="1"/>
  <c r="C121" i="1"/>
  <c r="A123" i="1" l="1"/>
  <c r="E123" i="1" s="1"/>
  <c r="F123" i="1" s="1"/>
  <c r="C122" i="1"/>
  <c r="D122" i="1"/>
  <c r="A124" i="1" l="1"/>
  <c r="E124" i="1" s="1"/>
  <c r="F124" i="1" s="1"/>
  <c r="C123" i="1"/>
  <c r="D123" i="1"/>
  <c r="A125" i="1" l="1"/>
  <c r="E125" i="1" s="1"/>
  <c r="F125" i="1" s="1"/>
  <c r="D124" i="1"/>
  <c r="C124" i="1"/>
  <c r="A126" i="1" l="1"/>
  <c r="E126" i="1" s="1"/>
  <c r="F126" i="1" s="1"/>
  <c r="D125" i="1"/>
  <c r="C125" i="1"/>
  <c r="A127" i="1" l="1"/>
  <c r="E127" i="1" s="1"/>
  <c r="F127" i="1" s="1"/>
  <c r="C126" i="1"/>
  <c r="D126" i="1"/>
  <c r="A128" i="1" l="1"/>
  <c r="E128" i="1" s="1"/>
  <c r="F128" i="1" s="1"/>
  <c r="D127" i="1"/>
  <c r="C127" i="1"/>
  <c r="A129" i="1" l="1"/>
  <c r="E129" i="1" s="1"/>
  <c r="F129" i="1" s="1"/>
  <c r="D128" i="1"/>
  <c r="C128" i="1"/>
  <c r="A130" i="1" l="1"/>
  <c r="E130" i="1" s="1"/>
  <c r="F130" i="1" s="1"/>
  <c r="D129" i="1"/>
  <c r="C129" i="1"/>
  <c r="A131" i="1" l="1"/>
  <c r="E131" i="1" s="1"/>
  <c r="F131" i="1" s="1"/>
  <c r="D130" i="1"/>
  <c r="C130" i="1"/>
  <c r="A132" i="1" l="1"/>
  <c r="E132" i="1" s="1"/>
  <c r="F132" i="1" s="1"/>
  <c r="D131" i="1"/>
  <c r="C131" i="1"/>
  <c r="A133" i="1" l="1"/>
  <c r="E133" i="1" s="1"/>
  <c r="F133" i="1" s="1"/>
  <c r="D132" i="1"/>
  <c r="C132" i="1"/>
  <c r="A134" i="1" l="1"/>
  <c r="E134" i="1" s="1"/>
  <c r="F134" i="1" s="1"/>
  <c r="D133" i="1"/>
  <c r="C133" i="1"/>
  <c r="A135" i="1" l="1"/>
  <c r="E135" i="1" s="1"/>
  <c r="F135" i="1" s="1"/>
  <c r="D134" i="1"/>
  <c r="C134" i="1"/>
  <c r="A136" i="1" l="1"/>
  <c r="E136" i="1" s="1"/>
  <c r="F136" i="1" s="1"/>
  <c r="D135" i="1"/>
  <c r="C135" i="1"/>
  <c r="A137" i="1" l="1"/>
  <c r="E137" i="1" s="1"/>
  <c r="F137" i="1" s="1"/>
  <c r="D136" i="1"/>
  <c r="C136" i="1"/>
  <c r="A138" i="1" l="1"/>
  <c r="E138" i="1" s="1"/>
  <c r="F138" i="1" s="1"/>
  <c r="D137" i="1"/>
  <c r="C137" i="1"/>
  <c r="A139" i="1" l="1"/>
  <c r="E139" i="1" s="1"/>
  <c r="F139" i="1" s="1"/>
  <c r="D138" i="1"/>
  <c r="C138" i="1"/>
  <c r="A140" i="1" l="1"/>
  <c r="E140" i="1" s="1"/>
  <c r="F140" i="1" s="1"/>
  <c r="D139" i="1"/>
  <c r="C139" i="1"/>
  <c r="A141" i="1" l="1"/>
  <c r="E141" i="1" s="1"/>
  <c r="F141" i="1" s="1"/>
  <c r="D140" i="1"/>
  <c r="C140" i="1"/>
  <c r="A142" i="1" l="1"/>
  <c r="E142" i="1" s="1"/>
  <c r="F142" i="1" s="1"/>
  <c r="D141" i="1"/>
  <c r="C141" i="1"/>
  <c r="A143" i="1" l="1"/>
  <c r="E143" i="1" s="1"/>
  <c r="F143" i="1" s="1"/>
  <c r="D142" i="1"/>
  <c r="C142" i="1"/>
  <c r="A144" i="1" l="1"/>
  <c r="E144" i="1" s="1"/>
  <c r="F144" i="1" s="1"/>
  <c r="D143" i="1"/>
  <c r="C143" i="1"/>
  <c r="A145" i="1" l="1"/>
  <c r="E145" i="1" s="1"/>
  <c r="F145" i="1" s="1"/>
  <c r="D144" i="1"/>
  <c r="C144" i="1"/>
  <c r="A146" i="1" l="1"/>
  <c r="E146" i="1" s="1"/>
  <c r="F146" i="1" s="1"/>
  <c r="D145" i="1"/>
  <c r="C145" i="1"/>
  <c r="A147" i="1" l="1"/>
  <c r="E147" i="1" s="1"/>
  <c r="F147" i="1" s="1"/>
  <c r="D146" i="1"/>
  <c r="C146" i="1"/>
  <c r="A148" i="1" l="1"/>
  <c r="E148" i="1" s="1"/>
  <c r="F148" i="1" s="1"/>
  <c r="D147" i="1"/>
  <c r="C147" i="1"/>
  <c r="A149" i="1" l="1"/>
  <c r="E149" i="1" s="1"/>
  <c r="F149" i="1" s="1"/>
  <c r="D148" i="1"/>
  <c r="C148" i="1"/>
  <c r="A150" i="1" l="1"/>
  <c r="E150" i="1" s="1"/>
  <c r="F150" i="1" s="1"/>
  <c r="D149" i="1"/>
  <c r="C149" i="1"/>
  <c r="A151" i="1" l="1"/>
  <c r="E151" i="1" s="1"/>
  <c r="F151" i="1" s="1"/>
  <c r="C150" i="1"/>
  <c r="D150" i="1"/>
  <c r="A152" i="1" l="1"/>
  <c r="E152" i="1" s="1"/>
  <c r="F152" i="1" s="1"/>
  <c r="D151" i="1"/>
  <c r="C151" i="1"/>
  <c r="A153" i="1" l="1"/>
  <c r="E153" i="1" s="1"/>
  <c r="F153" i="1" s="1"/>
  <c r="D152" i="1"/>
  <c r="C152" i="1"/>
  <c r="A154" i="1" l="1"/>
  <c r="E154" i="1" s="1"/>
  <c r="F154" i="1" s="1"/>
  <c r="D153" i="1"/>
  <c r="C153" i="1"/>
  <c r="A155" i="1" l="1"/>
  <c r="E155" i="1" s="1"/>
  <c r="F155" i="1" s="1"/>
  <c r="D154" i="1"/>
  <c r="C154" i="1"/>
  <c r="A156" i="1" l="1"/>
  <c r="E156" i="1" s="1"/>
  <c r="F156" i="1" s="1"/>
  <c r="D155" i="1"/>
  <c r="C155" i="1"/>
  <c r="A157" i="1" l="1"/>
  <c r="E157" i="1" s="1"/>
  <c r="F157" i="1" s="1"/>
  <c r="D156" i="1"/>
  <c r="C156" i="1"/>
  <c r="A158" i="1" l="1"/>
  <c r="E158" i="1" s="1"/>
  <c r="F158" i="1" s="1"/>
  <c r="D157" i="1"/>
  <c r="C157" i="1"/>
  <c r="A159" i="1" l="1"/>
  <c r="E159" i="1" s="1"/>
  <c r="F159" i="1" s="1"/>
  <c r="D158" i="1"/>
  <c r="C158" i="1"/>
  <c r="A160" i="1" l="1"/>
  <c r="E160" i="1" s="1"/>
  <c r="F160" i="1" s="1"/>
  <c r="D159" i="1"/>
  <c r="C159" i="1"/>
  <c r="A161" i="1" l="1"/>
  <c r="E161" i="1" s="1"/>
  <c r="F161" i="1" s="1"/>
  <c r="D160" i="1"/>
  <c r="C160" i="1"/>
  <c r="A162" i="1" l="1"/>
  <c r="E162" i="1" s="1"/>
  <c r="F162" i="1" s="1"/>
  <c r="D161" i="1"/>
  <c r="C161" i="1"/>
  <c r="A163" i="1" l="1"/>
  <c r="E163" i="1" s="1"/>
  <c r="F163" i="1" s="1"/>
  <c r="C162" i="1"/>
  <c r="D162" i="1"/>
  <c r="A164" i="1" l="1"/>
  <c r="E164" i="1" s="1"/>
  <c r="F164" i="1" s="1"/>
  <c r="D163" i="1"/>
  <c r="C163" i="1"/>
  <c r="A165" i="1" l="1"/>
  <c r="E165" i="1" s="1"/>
  <c r="F165" i="1" s="1"/>
  <c r="D164" i="1"/>
  <c r="C164" i="1"/>
  <c r="A166" i="1" l="1"/>
  <c r="E166" i="1" s="1"/>
  <c r="F166" i="1" s="1"/>
  <c r="D165" i="1"/>
  <c r="C165" i="1"/>
  <c r="A167" i="1" l="1"/>
  <c r="E167" i="1" s="1"/>
  <c r="F167" i="1" s="1"/>
  <c r="D166" i="1"/>
  <c r="C166" i="1"/>
  <c r="A168" i="1" l="1"/>
  <c r="E168" i="1" s="1"/>
  <c r="F168" i="1" s="1"/>
  <c r="D167" i="1"/>
  <c r="C167" i="1"/>
  <c r="A169" i="1" l="1"/>
  <c r="E169" i="1" s="1"/>
  <c r="F169" i="1" s="1"/>
  <c r="D168" i="1"/>
  <c r="C168" i="1"/>
  <c r="A170" i="1" l="1"/>
  <c r="E170" i="1" s="1"/>
  <c r="F170" i="1" s="1"/>
  <c r="D169" i="1"/>
  <c r="C169" i="1"/>
  <c r="A171" i="1" l="1"/>
  <c r="E171" i="1" s="1"/>
  <c r="F171" i="1" s="1"/>
  <c r="D170" i="1"/>
  <c r="C170" i="1"/>
  <c r="A172" i="1" l="1"/>
  <c r="E172" i="1" s="1"/>
  <c r="F172" i="1" s="1"/>
  <c r="D171" i="1"/>
  <c r="C171" i="1"/>
  <c r="A173" i="1" l="1"/>
  <c r="E173" i="1" s="1"/>
  <c r="F173" i="1" s="1"/>
  <c r="D172" i="1"/>
  <c r="C172" i="1"/>
  <c r="A174" i="1" l="1"/>
  <c r="E174" i="1" s="1"/>
  <c r="F174" i="1" s="1"/>
  <c r="D173" i="1"/>
  <c r="C173" i="1"/>
  <c r="A175" i="1" l="1"/>
  <c r="E175" i="1" s="1"/>
  <c r="F175" i="1" s="1"/>
  <c r="D174" i="1"/>
  <c r="C174" i="1"/>
  <c r="A176" i="1" l="1"/>
  <c r="E176" i="1" s="1"/>
  <c r="F176" i="1" s="1"/>
  <c r="D175" i="1"/>
  <c r="C175" i="1"/>
  <c r="A177" i="1" l="1"/>
  <c r="E177" i="1" s="1"/>
  <c r="F177" i="1" s="1"/>
  <c r="D176" i="1"/>
  <c r="C176" i="1"/>
  <c r="A178" i="1" l="1"/>
  <c r="E178" i="1" s="1"/>
  <c r="F178" i="1" s="1"/>
  <c r="D177" i="1"/>
  <c r="C177" i="1"/>
  <c r="A179" i="1" l="1"/>
  <c r="E179" i="1" s="1"/>
  <c r="F179" i="1" s="1"/>
  <c r="D178" i="1"/>
  <c r="C178" i="1"/>
  <c r="A180" i="1" l="1"/>
  <c r="E180" i="1" s="1"/>
  <c r="F180" i="1" s="1"/>
  <c r="C179" i="1"/>
  <c r="D179" i="1"/>
  <c r="A181" i="1" l="1"/>
  <c r="E181" i="1" s="1"/>
  <c r="F181" i="1" s="1"/>
  <c r="D180" i="1"/>
  <c r="C180" i="1"/>
  <c r="A182" i="1" l="1"/>
  <c r="E182" i="1" s="1"/>
  <c r="F182" i="1" s="1"/>
  <c r="D181" i="1"/>
  <c r="C181" i="1"/>
  <c r="A183" i="1" l="1"/>
  <c r="E183" i="1" s="1"/>
  <c r="F183" i="1" s="1"/>
  <c r="D182" i="1"/>
  <c r="C182" i="1"/>
  <c r="A184" i="1" l="1"/>
  <c r="E184" i="1" s="1"/>
  <c r="F184" i="1" s="1"/>
  <c r="D183" i="1"/>
  <c r="C183" i="1"/>
  <c r="A185" i="1" l="1"/>
  <c r="E185" i="1" s="1"/>
  <c r="F185" i="1" s="1"/>
  <c r="D184" i="1"/>
  <c r="C184" i="1"/>
  <c r="A186" i="1" l="1"/>
  <c r="E186" i="1" s="1"/>
  <c r="F186" i="1" s="1"/>
  <c r="D185" i="1"/>
  <c r="C185" i="1"/>
  <c r="A187" i="1" l="1"/>
  <c r="E187" i="1" s="1"/>
  <c r="F187" i="1" s="1"/>
  <c r="D186" i="1"/>
  <c r="C186" i="1"/>
  <c r="A188" i="1" l="1"/>
  <c r="E188" i="1" s="1"/>
  <c r="F188" i="1" s="1"/>
  <c r="C187" i="1"/>
  <c r="D187" i="1"/>
  <c r="A189" i="1" l="1"/>
  <c r="E189" i="1" s="1"/>
  <c r="F189" i="1" s="1"/>
  <c r="D188" i="1"/>
  <c r="C188" i="1"/>
  <c r="A190" i="1" l="1"/>
  <c r="E190" i="1" s="1"/>
  <c r="F190" i="1" s="1"/>
  <c r="D189" i="1"/>
  <c r="C189" i="1"/>
  <c r="A191" i="1" l="1"/>
  <c r="E191" i="1" s="1"/>
  <c r="F191" i="1" s="1"/>
  <c r="D190" i="1"/>
  <c r="C190" i="1"/>
  <c r="A192" i="1" l="1"/>
  <c r="E192" i="1" s="1"/>
  <c r="F192" i="1" s="1"/>
  <c r="D191" i="1"/>
  <c r="C191" i="1"/>
  <c r="A193" i="1" l="1"/>
  <c r="E193" i="1" s="1"/>
  <c r="F193" i="1" s="1"/>
  <c r="D192" i="1"/>
  <c r="C192" i="1"/>
  <c r="A194" i="1" l="1"/>
  <c r="E194" i="1" s="1"/>
  <c r="F194" i="1" s="1"/>
  <c r="D193" i="1"/>
  <c r="C193" i="1"/>
  <c r="A195" i="1" l="1"/>
  <c r="E195" i="1" s="1"/>
  <c r="F195" i="1" s="1"/>
  <c r="C194" i="1"/>
  <c r="D194" i="1"/>
  <c r="A196" i="1" l="1"/>
  <c r="E196" i="1" s="1"/>
  <c r="F196" i="1" s="1"/>
  <c r="C195" i="1"/>
  <c r="D195" i="1"/>
  <c r="A197" i="1" l="1"/>
  <c r="E197" i="1" s="1"/>
  <c r="F197" i="1" s="1"/>
  <c r="D196" i="1"/>
  <c r="C196" i="1"/>
  <c r="A198" i="1" l="1"/>
  <c r="E198" i="1" s="1"/>
  <c r="F198" i="1" s="1"/>
  <c r="D197" i="1"/>
  <c r="C197" i="1"/>
  <c r="A199" i="1" l="1"/>
  <c r="E199" i="1" s="1"/>
  <c r="F199" i="1" s="1"/>
  <c r="C198" i="1"/>
  <c r="D198" i="1"/>
  <c r="A200" i="1" l="1"/>
  <c r="E200" i="1" s="1"/>
  <c r="F200" i="1" s="1"/>
  <c r="D199" i="1"/>
  <c r="C199" i="1"/>
  <c r="A201" i="1" l="1"/>
  <c r="E201" i="1" s="1"/>
  <c r="F201" i="1" s="1"/>
  <c r="D200" i="1"/>
  <c r="C200" i="1"/>
  <c r="A202" i="1" l="1"/>
  <c r="E202" i="1" s="1"/>
  <c r="F202" i="1" s="1"/>
  <c r="D201" i="1"/>
  <c r="C201" i="1"/>
  <c r="A203" i="1" l="1"/>
  <c r="E203" i="1" s="1"/>
  <c r="F203" i="1" s="1"/>
  <c r="D202" i="1"/>
  <c r="C202" i="1"/>
  <c r="A204" i="1" l="1"/>
  <c r="E204" i="1" s="1"/>
  <c r="F204" i="1" s="1"/>
  <c r="D203" i="1"/>
  <c r="C203" i="1"/>
  <c r="A205" i="1" l="1"/>
  <c r="E205" i="1" s="1"/>
  <c r="F205" i="1" s="1"/>
  <c r="D204" i="1"/>
  <c r="C204" i="1"/>
  <c r="A206" i="1" l="1"/>
  <c r="E206" i="1" s="1"/>
  <c r="F206" i="1" s="1"/>
  <c r="D205" i="1"/>
  <c r="C205" i="1"/>
  <c r="A207" i="1" l="1"/>
  <c r="E207" i="1" s="1"/>
  <c r="F207" i="1" s="1"/>
  <c r="D206" i="1"/>
  <c r="C206" i="1"/>
  <c r="A208" i="1" l="1"/>
  <c r="E208" i="1" s="1"/>
  <c r="F208" i="1" s="1"/>
  <c r="D207" i="1"/>
  <c r="C207" i="1"/>
  <c r="A209" i="1" l="1"/>
  <c r="E209" i="1" s="1"/>
  <c r="F209" i="1" s="1"/>
  <c r="D208" i="1"/>
  <c r="C208" i="1"/>
  <c r="A210" i="1" l="1"/>
  <c r="E210" i="1" s="1"/>
  <c r="F210" i="1" s="1"/>
  <c r="D209" i="1"/>
  <c r="C209" i="1"/>
  <c r="A211" i="1" l="1"/>
  <c r="E211" i="1" s="1"/>
  <c r="F211" i="1" s="1"/>
  <c r="D210" i="1"/>
  <c r="C210" i="1"/>
  <c r="A212" i="1" l="1"/>
  <c r="E212" i="1" s="1"/>
  <c r="F212" i="1" s="1"/>
  <c r="D211" i="1"/>
  <c r="C211" i="1"/>
  <c r="A213" i="1" l="1"/>
  <c r="E213" i="1" s="1"/>
  <c r="F213" i="1" s="1"/>
  <c r="D212" i="1"/>
  <c r="C212" i="1"/>
  <c r="A214" i="1" l="1"/>
  <c r="E214" i="1" s="1"/>
  <c r="F214" i="1" s="1"/>
  <c r="D213" i="1"/>
  <c r="C213" i="1"/>
  <c r="A215" i="1" l="1"/>
  <c r="E215" i="1" s="1"/>
  <c r="F215" i="1" s="1"/>
  <c r="D214" i="1"/>
  <c r="C214" i="1"/>
  <c r="D215" i="1" l="1"/>
  <c r="C215" i="1"/>
  <c r="A216" i="1"/>
  <c r="E216" i="1" s="1"/>
  <c r="F216" i="1" s="1"/>
  <c r="A217" i="1" l="1"/>
  <c r="E217" i="1" s="1"/>
  <c r="F217" i="1" s="1"/>
  <c r="D216" i="1"/>
  <c r="C216" i="1"/>
  <c r="A218" i="1" l="1"/>
  <c r="E218" i="1" s="1"/>
  <c r="F218" i="1" s="1"/>
  <c r="C217" i="1"/>
  <c r="D217" i="1"/>
  <c r="A219" i="1" l="1"/>
  <c r="E219" i="1" s="1"/>
  <c r="F219" i="1" s="1"/>
  <c r="D218" i="1"/>
  <c r="C218" i="1"/>
  <c r="A220" i="1" l="1"/>
  <c r="E220" i="1" s="1"/>
  <c r="F220" i="1" s="1"/>
  <c r="C219" i="1"/>
  <c r="D219" i="1"/>
  <c r="A221" i="1" l="1"/>
  <c r="E221" i="1" s="1"/>
  <c r="F221" i="1" s="1"/>
  <c r="D220" i="1"/>
  <c r="C220" i="1"/>
  <c r="A222" i="1" l="1"/>
  <c r="E222" i="1" s="1"/>
  <c r="F222" i="1" s="1"/>
  <c r="C221" i="1"/>
  <c r="D221" i="1"/>
  <c r="A223" i="1" l="1"/>
  <c r="E223" i="1" s="1"/>
  <c r="F223" i="1" s="1"/>
  <c r="C222" i="1"/>
  <c r="D222" i="1"/>
  <c r="A224" i="1" l="1"/>
  <c r="E224" i="1" s="1"/>
  <c r="F224" i="1" s="1"/>
  <c r="D223" i="1"/>
  <c r="C223" i="1"/>
  <c r="A225" i="1" l="1"/>
  <c r="E225" i="1" s="1"/>
  <c r="F225" i="1" s="1"/>
  <c r="C224" i="1"/>
  <c r="D224" i="1"/>
  <c r="A226" i="1" l="1"/>
  <c r="E226" i="1" s="1"/>
  <c r="F226" i="1" s="1"/>
  <c r="C225" i="1"/>
  <c r="D225" i="1"/>
  <c r="A227" i="1" l="1"/>
  <c r="E227" i="1" s="1"/>
  <c r="F227" i="1" s="1"/>
  <c r="C226" i="1"/>
  <c r="D226" i="1"/>
  <c r="A228" i="1" l="1"/>
  <c r="E228" i="1" s="1"/>
  <c r="F228" i="1" s="1"/>
  <c r="C227" i="1"/>
  <c r="D227" i="1"/>
  <c r="A229" i="1" l="1"/>
  <c r="E229" i="1" s="1"/>
  <c r="F229" i="1" s="1"/>
  <c r="D228" i="1"/>
  <c r="C228" i="1"/>
  <c r="A230" i="1" l="1"/>
  <c r="E230" i="1" s="1"/>
  <c r="F230" i="1" s="1"/>
  <c r="D229" i="1"/>
  <c r="C229" i="1"/>
  <c r="A231" i="1" l="1"/>
  <c r="E231" i="1" s="1"/>
  <c r="F231" i="1" s="1"/>
  <c r="C230" i="1"/>
  <c r="D230" i="1"/>
  <c r="A232" i="1" l="1"/>
  <c r="E232" i="1" s="1"/>
  <c r="F232" i="1" s="1"/>
  <c r="C231" i="1"/>
  <c r="D231" i="1"/>
  <c r="D232" i="1" l="1"/>
  <c r="C232" i="1"/>
</calcChain>
</file>

<file path=xl/sharedStrings.xml><?xml version="1.0" encoding="utf-8"?>
<sst xmlns="http://schemas.openxmlformats.org/spreadsheetml/2006/main" count="22" uniqueCount="22">
  <si>
    <t xml:space="preserve">Crate </t>
  </si>
  <si>
    <t xml:space="preserve">Gesamtkosten </t>
  </si>
  <si>
    <t>Kapazität kwh</t>
  </si>
  <si>
    <t xml:space="preserve">Parameter </t>
  </si>
  <si>
    <t>Crate</t>
  </si>
  <si>
    <t>Max Ladeleistung</t>
  </si>
  <si>
    <t>Max Entladeleistung</t>
  </si>
  <si>
    <t xml:space="preserve">Folgende Werte sind die Grundlage für das Programm, sie sind aktuell mit Formeln angelegt können aber auch durchmanuelle eingabe ersetzt werden </t>
  </si>
  <si>
    <t>Kosten laut Angebot</t>
  </si>
  <si>
    <t>Formel</t>
  </si>
  <si>
    <t>KWH</t>
  </si>
  <si>
    <t>Datum</t>
  </si>
  <si>
    <t xml:space="preserve">Gesamtkosten = 266,73x0,9133
</t>
  </si>
  <si>
    <t>Kosten Pro Kwh</t>
  </si>
  <si>
    <t xml:space="preserve">Paramter des Programmes </t>
  </si>
  <si>
    <r>
      <rPr>
        <b/>
        <sz val="18"/>
        <color theme="1"/>
        <rFont val="Calibri"/>
        <family val="2"/>
        <scheme val="minor"/>
      </rPr>
      <t>Herstellerangebote</t>
    </r>
    <r>
      <rPr>
        <sz val="11"/>
        <color theme="1"/>
        <rFont val="Calibri"/>
        <family val="2"/>
        <scheme val="minor"/>
      </rPr>
      <t xml:space="preserve"> </t>
    </r>
  </si>
  <si>
    <t>Batteriekostenrechner:</t>
  </si>
  <si>
    <t>Anleitung zur Bedienung der Batteriespeicherkosten Excel:</t>
  </si>
  <si>
    <t xml:space="preserve">2. Fortlaufend die Liste mit Angeboten pflegen, daraus ergib sich eine Kostenfunktion(im Graph) welche in B5 eingetragen werden muss </t>
  </si>
  <si>
    <t xml:space="preserve">1. C-Rate in B4 eingeben beeinflusst die Max Lade/Entladegeschwindigkeit des gesamten Modells  </t>
  </si>
  <si>
    <t>3. Die Kostenfunktion ergibt dann E33-E232</t>
  </si>
  <si>
    <t>(Die Tabelle A32-F232 kann auch manuell eingetragen werden.)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</si>
</sst>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left" vertical="center" wrapText="1" readingOrder="1"/>
    </xf>
    <xf numFmtId="0" fontId="4" fillId="0" borderId="0" xfId="0" applyFont="1" applyAlignment="1"/>
    <xf numFmtId="0" fontId="0" fillId="0" borderId="0" xfId="0" applyAlignment="1">
      <alignment horizontal="left"/>
    </xf>
    <xf numFmtId="0" fontId="5" fillId="2" borderId="0" xfId="0" applyFont="1" applyFill="1"/>
    <xf numFmtId="0" fontId="6" fillId="0" borderId="0" xfId="1"/>
    <xf numFmtId="0" fontId="7" fillId="0" borderId="0" xfId="0" applyFont="1"/>
  </cellXfs>
  <cellStyles count="2">
    <cellStyle name="Link" xfId="1" builtinId="8"/>
    <cellStyle name="Standard" xfId="0" builtinId="0"/>
  </cellStyles>
  <dxfs count="3">
    <dxf>
      <numFmt numFmtId="164" formatCode="#,##0.00\ &quot;€&quot;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Angebote</c:v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35224296287762297"/>
                  <c:y val="4.3740104054085786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2000" baseline="0"/>
                      <a:t>y = 266,73x</a:t>
                    </a:r>
                    <a:r>
                      <a:rPr lang="en-US" sz="2000" baseline="30000"/>
                      <a:t>0,9133</a:t>
                    </a:r>
                    <a:endParaRPr lang="en-US" sz="20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Tabelle1!$I$33:$I$122</c:f>
              <c:numCache>
                <c:formatCode>0.00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5.12</c:v>
                </c:pt>
                <c:pt idx="4">
                  <c:v>12</c:v>
                </c:pt>
                <c:pt idx="5">
                  <c:v>20</c:v>
                </c:pt>
                <c:pt idx="6">
                  <c:v>50</c:v>
                </c:pt>
                <c:pt idx="7">
                  <c:v>100</c:v>
                </c:pt>
              </c:numCache>
            </c:numRef>
          </c:xVal>
          <c:yVal>
            <c:numRef>
              <c:f>Tabelle1!$J$33:$J$122</c:f>
              <c:numCache>
                <c:formatCode>#,##0.00\ "€"</c:formatCode>
                <c:ptCount val="90"/>
                <c:pt idx="0">
                  <c:v>300</c:v>
                </c:pt>
                <c:pt idx="1">
                  <c:v>397</c:v>
                </c:pt>
                <c:pt idx="2">
                  <c:v>750</c:v>
                </c:pt>
                <c:pt idx="3">
                  <c:v>1345</c:v>
                </c:pt>
                <c:pt idx="4">
                  <c:v>3400</c:v>
                </c:pt>
                <c:pt idx="5">
                  <c:v>4699</c:v>
                </c:pt>
                <c:pt idx="6">
                  <c:v>8895</c:v>
                </c:pt>
                <c:pt idx="7">
                  <c:v>15899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3-469B-8133-A5F19AB8C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859160"/>
        <c:axId val="465859488"/>
      </c:scatterChart>
      <c:valAx>
        <c:axId val="46585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65859488"/>
        <c:crosses val="autoZero"/>
        <c:crossBetween val="midCat"/>
      </c:valAx>
      <c:valAx>
        <c:axId val="46585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6585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Euro/kWh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Tabelle1!$F$33:$F$232</c:f>
              <c:numCache>
                <c:formatCode>General</c:formatCode>
                <c:ptCount val="200"/>
                <c:pt idx="0">
                  <c:v>266.73</c:v>
                </c:pt>
                <c:pt idx="1">
                  <c:v>251.17277532731555</c:v>
                </c:pt>
                <c:pt idx="2">
                  <c:v>242.49648741199292</c:v>
                </c:pt>
                <c:pt idx="3">
                  <c:v>236.52293729848958</c:v>
                </c:pt>
                <c:pt idx="4">
                  <c:v>231.99101530740026</c:v>
                </c:pt>
                <c:pt idx="5">
                  <c:v>228.35270029766318</c:v>
                </c:pt>
                <c:pt idx="6">
                  <c:v>225.32110110808136</c:v>
                </c:pt>
                <c:pt idx="7">
                  <c:v>222.72756191590844</c:v>
                </c:pt>
                <c:pt idx="8">
                  <c:v>220.46468866327305</c:v>
                </c:pt>
                <c:pt idx="9">
                  <c:v>218.45996762929363</c:v>
                </c:pt>
                <c:pt idx="10">
                  <c:v>216.66218527240505</c:v>
                </c:pt>
                <c:pt idx="11">
                  <c:v>215.0338600354319</c:v>
                </c:pt>
                <c:pt idx="12">
                  <c:v>213.54675496621377</c:v>
                </c:pt>
                <c:pt idx="13">
                  <c:v>212.17908111244876</c:v>
                </c:pt>
                <c:pt idx="14">
                  <c:v>210.91368171254234</c:v>
                </c:pt>
                <c:pt idx="15">
                  <c:v>209.73681201329143</c:v>
                </c:pt>
                <c:pt idx="16">
                  <c:v>208.63729502772475</c:v>
                </c:pt>
                <c:pt idx="17">
                  <c:v>207.60592251800261</c:v>
                </c:pt>
                <c:pt idx="18">
                  <c:v>206.63502055669639</c:v>
                </c:pt>
                <c:pt idx="19">
                  <c:v>205.71812832214286</c:v>
                </c:pt>
                <c:pt idx="20">
                  <c:v>204.84975652724566</c:v>
                </c:pt>
                <c:pt idx="21">
                  <c:v>204.02520295186523</c:v>
                </c:pt>
                <c:pt idx="22">
                  <c:v>203.24040964172346</c:v>
                </c:pt>
                <c:pt idx="23">
                  <c:v>202.49185098955863</c:v>
                </c:pt>
                <c:pt idx="24">
                  <c:v>201.77644503189899</c:v>
                </c:pt>
                <c:pt idx="25">
                  <c:v>201.09148242419712</c:v>
                </c:pt>
                <c:pt idx="26">
                  <c:v>200.43456903693735</c:v>
                </c:pt>
                <c:pt idx="27">
                  <c:v>199.80357916024951</c:v>
                </c:pt>
                <c:pt idx="28">
                  <c:v>199.19661705313987</c:v>
                </c:pt>
                <c:pt idx="29">
                  <c:v>198.61198511693976</c:v>
                </c:pt>
                <c:pt idx="30">
                  <c:v>198.04815737204225</c:v>
                </c:pt>
                <c:pt idx="31">
                  <c:v>197.5037572139687</c:v>
                </c:pt>
                <c:pt idx="32">
                  <c:v>196.97753864793839</c:v>
                </c:pt>
                <c:pt idx="33">
                  <c:v>196.46837037040291</c:v>
                </c:pt>
                <c:pt idx="34">
                  <c:v>195.97522219564794</c:v>
                </c:pt>
                <c:pt idx="35">
                  <c:v>195.49715342569024</c:v>
                </c:pt>
                <c:pt idx="36">
                  <c:v>195.03330283964434</c:v>
                </c:pt>
                <c:pt idx="37">
                  <c:v>194.58288003989921</c:v>
                </c:pt>
                <c:pt idx="38">
                  <c:v>194.14515794075044</c:v>
                </c:pt>
                <c:pt idx="39">
                  <c:v>193.7194662235724</c:v>
                </c:pt>
                <c:pt idx="40">
                  <c:v>193.30518561337297</c:v>
                </c:pt>
                <c:pt idx="41">
                  <c:v>192.901742856346</c:v>
                </c:pt>
                <c:pt idx="42">
                  <c:v>192.50860629809679</c:v>
                </c:pt>
                <c:pt idx="43">
                  <c:v>192.12528197855053</c:v>
                </c:pt>
                <c:pt idx="44">
                  <c:v>191.75131017291869</c:v>
                </c:pt>
                <c:pt idx="45">
                  <c:v>191.38626231909481</c:v>
                </c:pt>
                <c:pt idx="46">
                  <c:v>191.02973828092891</c:v>
                </c:pt>
                <c:pt idx="47">
                  <c:v>190.68136390437019</c:v>
                </c:pt>
                <c:pt idx="48">
                  <c:v>190.34078882974632</c:v>
                </c:pt>
                <c:pt idx="49">
                  <c:v>190.00768452870543</c:v>
                </c:pt>
                <c:pt idx="50">
                  <c:v>189.68174253875782</c:v>
                </c:pt>
                <c:pt idx="51">
                  <c:v>189.36267287207923</c:v>
                </c:pt>
                <c:pt idx="52">
                  <c:v>189.05020257838413</c:v>
                </c:pt>
                <c:pt idx="53">
                  <c:v>188.7440744443519</c:v>
                </c:pt>
                <c:pt idx="54">
                  <c:v>188.44404581436399</c:v>
                </c:pt>
                <c:pt idx="55">
                  <c:v>188.14988751925503</c:v>
                </c:pt>
                <c:pt idx="56">
                  <c:v>187.86138290145021</c:v>
                </c:pt>
                <c:pt idx="57">
                  <c:v>187.578326926291</c:v>
                </c:pt>
                <c:pt idx="58">
                  <c:v>187.30052537058558</c:v>
                </c:pt>
                <c:pt idx="59">
                  <c:v>187.02779408049051</c:v>
                </c:pt>
                <c:pt idx="60">
                  <c:v>186.75995829175201</c:v>
                </c:pt>
                <c:pt idx="61">
                  <c:v>186.49685200613649</c:v>
                </c:pt>
                <c:pt idx="62">
                  <c:v>186.23831741858439</c:v>
                </c:pt>
                <c:pt idx="63">
                  <c:v>185.98420439022539</c:v>
                </c:pt>
                <c:pt idx="64">
                  <c:v>185.73436996293083</c:v>
                </c:pt>
                <c:pt idx="65">
                  <c:v>185.48867791154439</c:v>
                </c:pt>
                <c:pt idx="66">
                  <c:v>185.24699833034609</c:v>
                </c:pt>
                <c:pt idx="67">
                  <c:v>185.00920725066175</c:v>
                </c:pt>
                <c:pt idx="68">
                  <c:v>184.77518628685365</c:v>
                </c:pt>
                <c:pt idx="69">
                  <c:v>184.54482230820773</c:v>
                </c:pt>
                <c:pt idx="70">
                  <c:v>184.31800713448226</c:v>
                </c:pt>
                <c:pt idx="71">
                  <c:v>184.09463725310468</c:v>
                </c:pt>
                <c:pt idx="72">
                  <c:v>183.87461355620073</c:v>
                </c:pt>
                <c:pt idx="73">
                  <c:v>183.65784109581335</c:v>
                </c:pt>
                <c:pt idx="74">
                  <c:v>183.44422885582634</c:v>
                </c:pt>
                <c:pt idx="75">
                  <c:v>183.23368953924796</c:v>
                </c:pt>
                <c:pt idx="76">
                  <c:v>183.02613936963007</c:v>
                </c:pt>
                <c:pt idx="77">
                  <c:v>182.82149790551608</c:v>
                </c:pt>
                <c:pt idx="78">
                  <c:v>182.6196878669065</c:v>
                </c:pt>
                <c:pt idx="79">
                  <c:v>182.420634972822</c:v>
                </c:pt>
                <c:pt idx="80">
                  <c:v>182.22426778912728</c:v>
                </c:pt>
                <c:pt idx="81">
                  <c:v>182.03051758584616</c:v>
                </c:pt>
                <c:pt idx="82">
                  <c:v>181.83931820327319</c:v>
                </c:pt>
                <c:pt idx="83">
                  <c:v>181.65060592623468</c:v>
                </c:pt>
                <c:pt idx="84">
                  <c:v>181.46431936591864</c:v>
                </c:pt>
                <c:pt idx="85">
                  <c:v>181.28039934872902</c:v>
                </c:pt>
                <c:pt idx="86">
                  <c:v>181.09878881167583</c:v>
                </c:pt>
                <c:pt idx="87">
                  <c:v>180.91943270384149</c:v>
                </c:pt>
                <c:pt idx="88">
                  <c:v>180.74227789350985</c:v>
                </c:pt>
                <c:pt idx="89">
                  <c:v>180.56727308057177</c:v>
                </c:pt>
                <c:pt idx="90">
                  <c:v>180.39436871384888</c:v>
                </c:pt>
                <c:pt idx="91">
                  <c:v>180.22351691301577</c:v>
                </c:pt>
                <c:pt idx="92">
                  <c:v>180.05467139481064</c:v>
                </c:pt>
                <c:pt idx="93">
                  <c:v>179.8877874032604</c:v>
                </c:pt>
                <c:pt idx="94">
                  <c:v>179.72282164366035</c:v>
                </c:pt>
                <c:pt idx="95">
                  <c:v>179.55973222006696</c:v>
                </c:pt>
                <c:pt idx="96">
                  <c:v>179.39847857608646</c:v>
                </c:pt>
                <c:pt idx="97">
                  <c:v>179.23902143875037</c:v>
                </c:pt>
                <c:pt idx="98">
                  <c:v>179.08132276528744</c:v>
                </c:pt>
                <c:pt idx="99">
                  <c:v>178.92534569261804</c:v>
                </c:pt>
                <c:pt idx="100">
                  <c:v>178.77105448940046</c:v>
                </c:pt>
                <c:pt idx="101">
                  <c:v>178.61841451048303</c:v>
                </c:pt>
                <c:pt idx="102">
                  <c:v>178.4673921536135</c:v>
                </c:pt>
                <c:pt idx="103">
                  <c:v>178.31795481827572</c:v>
                </c:pt>
                <c:pt idx="104">
                  <c:v>178.17007086652953</c:v>
                </c:pt>
                <c:pt idx="105">
                  <c:v>178.02370958573823</c:v>
                </c:pt>
                <c:pt idx="106">
                  <c:v>177.87884115307438</c:v>
                </c:pt>
                <c:pt idx="107">
                  <c:v>177.73543660170719</c:v>
                </c:pt>
                <c:pt idx="108">
                  <c:v>177.59346778857045</c:v>
                </c:pt>
                <c:pt idx="109">
                  <c:v>177.45290736363211</c:v>
                </c:pt>
                <c:pt idx="110">
                  <c:v>177.31372874057362</c:v>
                </c:pt>
                <c:pt idx="111">
                  <c:v>177.17590606880918</c:v>
                </c:pt>
                <c:pt idx="112">
                  <c:v>177.03941420676873</c:v>
                </c:pt>
                <c:pt idx="113">
                  <c:v>176.9042286963774</c:v>
                </c:pt>
                <c:pt idx="114">
                  <c:v>176.7703257386697</c:v>
                </c:pt>
                <c:pt idx="115">
                  <c:v>176.63768217047581</c:v>
                </c:pt>
                <c:pt idx="116">
                  <c:v>176.50627544212716</c:v>
                </c:pt>
                <c:pt idx="117">
                  <c:v>176.37608359612443</c:v>
                </c:pt>
                <c:pt idx="118">
                  <c:v>176.24708524672354</c:v>
                </c:pt>
                <c:pt idx="119">
                  <c:v>176.11925956038883</c:v>
                </c:pt>
                <c:pt idx="120">
                  <c:v>175.99258623707104</c:v>
                </c:pt>
                <c:pt idx="121">
                  <c:v>175.86704549226957</c:v>
                </c:pt>
                <c:pt idx="122">
                  <c:v>175.74261803983887</c:v>
                </c:pt>
                <c:pt idx="123">
                  <c:v>175.61928507550309</c:v>
                </c:pt>
                <c:pt idx="124">
                  <c:v>175.49702826104334</c:v>
                </c:pt>
                <c:pt idx="125">
                  <c:v>175.37582970912672</c:v>
                </c:pt>
                <c:pt idx="126">
                  <c:v>175.25567196874442</c:v>
                </c:pt>
                <c:pt idx="127">
                  <c:v>175.13653801123081</c:v>
                </c:pt>
                <c:pt idx="128">
                  <c:v>175.01841121683614</c:v>
                </c:pt>
                <c:pt idx="129">
                  <c:v>174.90127536182555</c:v>
                </c:pt>
                <c:pt idx="130">
                  <c:v>174.78511460608175</c:v>
                </c:pt>
                <c:pt idx="131">
                  <c:v>174.66991348118748</c:v>
                </c:pt>
                <c:pt idx="132">
                  <c:v>174.55565687896322</c:v>
                </c:pt>
                <c:pt idx="133">
                  <c:v>174.44233004044403</c:v>
                </c:pt>
                <c:pt idx="134">
                  <c:v>174.32991854527168</c:v>
                </c:pt>
                <c:pt idx="135">
                  <c:v>174.21840830148551</c:v>
                </c:pt>
                <c:pt idx="136">
                  <c:v>174.1077855356929</c:v>
                </c:pt>
                <c:pt idx="137">
                  <c:v>173.99803678360422</c:v>
                </c:pt>
                <c:pt idx="138">
                  <c:v>173.88914888091466</c:v>
                </c:pt>
                <c:pt idx="139">
                  <c:v>173.78110895451877</c:v>
                </c:pt>
                <c:pt idx="140">
                  <c:v>173.67390441404257</c:v>
                </c:pt>
                <c:pt idx="141">
                  <c:v>173.56752294368027</c:v>
                </c:pt>
                <c:pt idx="142">
                  <c:v>173.4619524943225</c:v>
                </c:pt>
                <c:pt idx="143">
                  <c:v>173.3571812759634</c:v>
                </c:pt>
                <c:pt idx="144">
                  <c:v>173.25319775037417</c:v>
                </c:pt>
                <c:pt idx="145">
                  <c:v>173.14999062403405</c:v>
                </c:pt>
                <c:pt idx="146">
                  <c:v>173.04754884130529</c:v>
                </c:pt>
                <c:pt idx="147">
                  <c:v>172.94586157784479</c:v>
                </c:pt>
                <c:pt idx="148">
                  <c:v>172.84491823424</c:v>
                </c:pt>
                <c:pt idx="149">
                  <c:v>172.74470842986207</c:v>
                </c:pt>
                <c:pt idx="150">
                  <c:v>172.64522199692723</c:v>
                </c:pt>
                <c:pt idx="151">
                  <c:v>172.54644897475578</c:v>
                </c:pt>
                <c:pt idx="152">
                  <c:v>172.44837960422436</c:v>
                </c:pt>
                <c:pt idx="153">
                  <c:v>172.35100432240117</c:v>
                </c:pt>
                <c:pt idx="154">
                  <c:v>172.25431375735715</c:v>
                </c:pt>
                <c:pt idx="155">
                  <c:v>172.15829872314876</c:v>
                </c:pt>
                <c:pt idx="156">
                  <c:v>172.0629502149618</c:v>
                </c:pt>
                <c:pt idx="157">
                  <c:v>171.96825940441275</c:v>
                </c:pt>
                <c:pt idx="158">
                  <c:v>171.874217635001</c:v>
                </c:pt>
                <c:pt idx="159">
                  <c:v>171.78081641770652</c:v>
                </c:pt>
                <c:pt idx="160">
                  <c:v>171.68804742672609</c:v>
                </c:pt>
                <c:pt idx="161">
                  <c:v>171.59590249534367</c:v>
                </c:pt>
                <c:pt idx="162">
                  <c:v>171.50437361193178</c:v>
                </c:pt>
                <c:pt idx="163">
                  <c:v>171.41345291607504</c:v>
                </c:pt>
                <c:pt idx="164">
                  <c:v>171.32313269481466</c:v>
                </c:pt>
                <c:pt idx="165">
                  <c:v>171.2334053790085</c:v>
                </c:pt>
                <c:pt idx="166">
                  <c:v>171.14426353980193</c:v>
                </c:pt>
                <c:pt idx="167">
                  <c:v>171.05569988520557</c:v>
                </c:pt>
                <c:pt idx="168">
                  <c:v>170.96770725677706</c:v>
                </c:pt>
                <c:pt idx="169">
                  <c:v>170.88027862640172</c:v>
                </c:pt>
                <c:pt idx="170">
                  <c:v>170.79340709316958</c:v>
                </c:pt>
                <c:pt idx="171">
                  <c:v>170.70708588034478</c:v>
                </c:pt>
                <c:pt idx="172">
                  <c:v>170.62130833242514</c:v>
                </c:pt>
                <c:pt idx="173">
                  <c:v>170.53606791228592</c:v>
                </c:pt>
                <c:pt idx="174">
                  <c:v>170.45135819840951</c:v>
                </c:pt>
                <c:pt idx="175">
                  <c:v>170.36717288219296</c:v>
                </c:pt>
                <c:pt idx="176">
                  <c:v>170.28350576533506</c:v>
                </c:pt>
                <c:pt idx="177">
                  <c:v>170.20035075729686</c:v>
                </c:pt>
                <c:pt idx="178">
                  <c:v>170.11770187283483</c:v>
                </c:pt>
                <c:pt idx="179">
                  <c:v>170.0355532296048</c:v>
                </c:pt>
                <c:pt idx="180">
                  <c:v>169.953899045832</c:v>
                </c:pt>
                <c:pt idx="181">
                  <c:v>169.87273363804778</c:v>
                </c:pt>
                <c:pt idx="182">
                  <c:v>169.7920514188886</c:v>
                </c:pt>
                <c:pt idx="183">
                  <c:v>169.71184689495578</c:v>
                </c:pt>
                <c:pt idx="184">
                  <c:v>169.6321146647349</c:v>
                </c:pt>
                <c:pt idx="185">
                  <c:v>169.55284941657246</c:v>
                </c:pt>
                <c:pt idx="186">
                  <c:v>169.47404592670603</c:v>
                </c:pt>
                <c:pt idx="187">
                  <c:v>169.39569905735027</c:v>
                </c:pt>
                <c:pt idx="188">
                  <c:v>169.31780375483251</c:v>
                </c:pt>
                <c:pt idx="189">
                  <c:v>169.24035504777981</c:v>
                </c:pt>
                <c:pt idx="190">
                  <c:v>169.1633480453531</c:v>
                </c:pt>
                <c:pt idx="191">
                  <c:v>169.08677793552965</c:v>
                </c:pt>
                <c:pt idx="192">
                  <c:v>169.01063998342974</c:v>
                </c:pt>
                <c:pt idx="193">
                  <c:v>168.93492952968768</c:v>
                </c:pt>
                <c:pt idx="194">
                  <c:v>168.8596419888662</c:v>
                </c:pt>
                <c:pt idx="195">
                  <c:v>168.78477284791026</c:v>
                </c:pt>
                <c:pt idx="196">
                  <c:v>168.7103176646433</c:v>
                </c:pt>
                <c:pt idx="197">
                  <c:v>168.63627206629931</c:v>
                </c:pt>
                <c:pt idx="198">
                  <c:v>168.56263174809607</c:v>
                </c:pt>
                <c:pt idx="199">
                  <c:v>168.48939247184114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B-4CB7-B937-3CE2F61A3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1962584"/>
        <c:axId val="451966520"/>
      </c:lineChart>
      <c:catAx>
        <c:axId val="451962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1966520"/>
        <c:crosses val="autoZero"/>
        <c:auto val="1"/>
        <c:lblAlgn val="ctr"/>
        <c:lblOffset val="100"/>
        <c:noMultiLvlLbl val="0"/>
      </c:catAx>
      <c:valAx>
        <c:axId val="45196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196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441959</xdr:rowOff>
    </xdr:from>
    <xdr:to>
      <xdr:col>9</xdr:col>
      <xdr:colOff>1376948</xdr:colOff>
      <xdr:row>28</xdr:row>
      <xdr:rowOff>111403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34</xdr:row>
          <xdr:rowOff>45720</xdr:rowOff>
        </xdr:from>
        <xdr:to>
          <xdr:col>12</xdr:col>
          <xdr:colOff>548640</xdr:colOff>
          <xdr:row>36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449580</xdr:rowOff>
    </xdr:from>
    <xdr:to>
      <xdr:col>19</xdr:col>
      <xdr:colOff>685800</xdr:colOff>
      <xdr:row>28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le1" displayName="Tabelle1" ref="H32:J122" totalsRowShown="0">
  <autoFilter ref="H32:J122"/>
  <sortState ref="H33:J122">
    <sortCondition ref="I32:I122"/>
  </sortState>
  <tableColumns count="3">
    <tableColumn id="1" name="Datum" dataDxfId="2">
      <calculatedColumnFormula>H32+1</calculatedColumnFormula>
    </tableColumn>
    <tableColumn id="2" name="KWH" dataDxfId="1">
      <calculatedColumnFormula>I33:I1211</calculatedColumnFormula>
    </tableColumn>
    <tableColumn id="3" name="Kosten laut Angebo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232"/>
  <sheetViews>
    <sheetView tabSelected="1" zoomScale="57" workbookViewId="0">
      <selection activeCell="E232" sqref="E232"/>
    </sheetView>
  </sheetViews>
  <sheetFormatPr baseColWidth="10" defaultRowHeight="14.4" x14ac:dyDescent="0.3"/>
  <cols>
    <col min="1" max="1" width="15.33203125" customWidth="1"/>
    <col min="2" max="2" width="15.6640625" customWidth="1"/>
    <col min="3" max="3" width="23.33203125" customWidth="1"/>
    <col min="4" max="4" width="27.77734375" customWidth="1"/>
    <col min="5" max="5" width="15" customWidth="1"/>
    <col min="6" max="6" width="18.33203125" customWidth="1"/>
    <col min="8" max="8" width="19.77734375" style="4" customWidth="1"/>
    <col min="10" max="10" width="20.21875" customWidth="1"/>
  </cols>
  <sheetData>
    <row r="1" spans="1:20" ht="36" customHeight="1" x14ac:dyDescent="0.55000000000000004">
      <c r="A1" s="13" t="s">
        <v>16</v>
      </c>
      <c r="B1" s="2"/>
      <c r="C1" s="2"/>
      <c r="D1" s="2"/>
      <c r="E1" s="2"/>
      <c r="F1" s="2"/>
      <c r="G1" s="2"/>
      <c r="H1" s="6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3" spans="1:20" x14ac:dyDescent="0.3">
      <c r="A3" t="s">
        <v>3</v>
      </c>
    </row>
    <row r="4" spans="1:20" x14ac:dyDescent="0.3">
      <c r="A4" t="s">
        <v>4</v>
      </c>
      <c r="B4">
        <v>0.5</v>
      </c>
    </row>
    <row r="5" spans="1:20" ht="43.2" x14ac:dyDescent="0.3">
      <c r="A5" t="s">
        <v>9</v>
      </c>
      <c r="B5" s="10" t="s">
        <v>12</v>
      </c>
    </row>
    <row r="7" spans="1:20" x14ac:dyDescent="0.3">
      <c r="B7" s="14"/>
    </row>
    <row r="30" spans="1:10" x14ac:dyDescent="0.3">
      <c r="A30" s="5" t="s">
        <v>7</v>
      </c>
      <c r="B30" s="5"/>
      <c r="C30" s="5"/>
      <c r="D30" s="5"/>
      <c r="E30" s="5"/>
      <c r="F30" s="5"/>
      <c r="G30" s="5"/>
      <c r="I30" s="5"/>
    </row>
    <row r="31" spans="1:10" ht="28.8" customHeight="1" x14ac:dyDescent="0.45">
      <c r="A31" s="11" t="s">
        <v>14</v>
      </c>
      <c r="B31" s="5"/>
      <c r="C31" s="5"/>
      <c r="D31" s="5"/>
      <c r="E31" s="5"/>
      <c r="F31" s="5"/>
      <c r="G31" s="5"/>
      <c r="H31" s="12" t="s">
        <v>15</v>
      </c>
      <c r="I31" s="5"/>
    </row>
    <row r="32" spans="1:10" ht="26.4" customHeight="1" x14ac:dyDescent="0.3">
      <c r="A32" s="1" t="s">
        <v>2</v>
      </c>
      <c r="B32" s="1" t="s">
        <v>0</v>
      </c>
      <c r="C32" s="1" t="s">
        <v>5</v>
      </c>
      <c r="D32" s="1" t="s">
        <v>6</v>
      </c>
      <c r="E32" s="1" t="s">
        <v>1</v>
      </c>
      <c r="F32" s="1" t="s">
        <v>13</v>
      </c>
      <c r="H32" s="3" t="s">
        <v>11</v>
      </c>
      <c r="I32" s="3" t="s">
        <v>10</v>
      </c>
      <c r="J32" s="1" t="s">
        <v>8</v>
      </c>
    </row>
    <row r="33" spans="1:10" x14ac:dyDescent="0.3">
      <c r="A33">
        <v>1</v>
      </c>
      <c r="B33">
        <f>$B$4</f>
        <v>0.5</v>
      </c>
      <c r="C33">
        <f>A33*B33</f>
        <v>0.5</v>
      </c>
      <c r="D33">
        <f>A33*B33</f>
        <v>0.5</v>
      </c>
      <c r="E33">
        <f>266.73*A33^0.9133</f>
        <v>266.73</v>
      </c>
      <c r="F33">
        <f>E33/A33</f>
        <v>266.73</v>
      </c>
      <c r="H33" s="9"/>
      <c r="I33" s="7">
        <v>1</v>
      </c>
      <c r="J33" s="8">
        <v>300</v>
      </c>
    </row>
    <row r="34" spans="1:10" x14ac:dyDescent="0.3">
      <c r="A34">
        <f>A33+1</f>
        <v>2</v>
      </c>
      <c r="B34">
        <f t="shared" ref="B34:B97" si="0">$B$4</f>
        <v>0.5</v>
      </c>
      <c r="C34">
        <f t="shared" ref="C34:C97" si="1">A34*B34</f>
        <v>1</v>
      </c>
      <c r="D34">
        <f t="shared" ref="D34:D97" si="2">A34*B34</f>
        <v>1</v>
      </c>
      <c r="E34">
        <f t="shared" ref="E34:E97" si="3">266.73*A34^0.9133</f>
        <v>502.3455506546311</v>
      </c>
      <c r="F34">
        <f t="shared" ref="F34:F97" si="4">E34/A34</f>
        <v>251.17277532731555</v>
      </c>
      <c r="H34" s="9"/>
      <c r="I34" s="7">
        <v>2</v>
      </c>
      <c r="J34" s="8">
        <v>397</v>
      </c>
    </row>
    <row r="35" spans="1:10" x14ac:dyDescent="0.3">
      <c r="A35">
        <f t="shared" ref="A35:A98" si="5">A34+1</f>
        <v>3</v>
      </c>
      <c r="B35">
        <f t="shared" si="0"/>
        <v>0.5</v>
      </c>
      <c r="C35">
        <f t="shared" si="1"/>
        <v>1.5</v>
      </c>
      <c r="D35">
        <f t="shared" si="2"/>
        <v>1.5</v>
      </c>
      <c r="E35">
        <f t="shared" si="3"/>
        <v>727.48946223597875</v>
      </c>
      <c r="F35">
        <f t="shared" si="4"/>
        <v>242.49648741199292</v>
      </c>
      <c r="H35" s="9"/>
      <c r="I35" s="7">
        <v>4</v>
      </c>
      <c r="J35" s="8">
        <v>750</v>
      </c>
    </row>
    <row r="36" spans="1:10" x14ac:dyDescent="0.3">
      <c r="A36">
        <f t="shared" si="5"/>
        <v>4</v>
      </c>
      <c r="B36">
        <f t="shared" si="0"/>
        <v>0.5</v>
      </c>
      <c r="C36">
        <f t="shared" si="1"/>
        <v>2</v>
      </c>
      <c r="D36">
        <f t="shared" si="2"/>
        <v>2</v>
      </c>
      <c r="E36">
        <f t="shared" si="3"/>
        <v>946.09174919395832</v>
      </c>
      <c r="F36">
        <f t="shared" si="4"/>
        <v>236.52293729848958</v>
      </c>
      <c r="H36" s="9"/>
      <c r="I36" s="7">
        <v>5.12</v>
      </c>
      <c r="J36" s="8">
        <v>1345</v>
      </c>
    </row>
    <row r="37" spans="1:10" x14ac:dyDescent="0.3">
      <c r="A37">
        <f t="shared" si="5"/>
        <v>5</v>
      </c>
      <c r="B37">
        <f t="shared" si="0"/>
        <v>0.5</v>
      </c>
      <c r="C37">
        <f t="shared" si="1"/>
        <v>2.5</v>
      </c>
      <c r="D37">
        <f t="shared" si="2"/>
        <v>2.5</v>
      </c>
      <c r="E37">
        <f t="shared" si="3"/>
        <v>1159.9550765370013</v>
      </c>
      <c r="F37">
        <f t="shared" si="4"/>
        <v>231.99101530740026</v>
      </c>
      <c r="H37" s="9"/>
      <c r="I37" s="7">
        <v>12</v>
      </c>
      <c r="J37" s="8">
        <v>3400</v>
      </c>
    </row>
    <row r="38" spans="1:10" x14ac:dyDescent="0.3">
      <c r="A38">
        <f t="shared" si="5"/>
        <v>6</v>
      </c>
      <c r="B38">
        <f t="shared" si="0"/>
        <v>0.5</v>
      </c>
      <c r="C38">
        <f t="shared" si="1"/>
        <v>3</v>
      </c>
      <c r="D38">
        <f t="shared" si="2"/>
        <v>3</v>
      </c>
      <c r="E38">
        <f t="shared" si="3"/>
        <v>1370.116201785979</v>
      </c>
      <c r="F38">
        <f t="shared" si="4"/>
        <v>228.35270029766318</v>
      </c>
      <c r="H38" s="9"/>
      <c r="I38" s="7">
        <v>20</v>
      </c>
      <c r="J38" s="8">
        <v>4699</v>
      </c>
    </row>
    <row r="39" spans="1:10" x14ac:dyDescent="0.3">
      <c r="A39">
        <f t="shared" si="5"/>
        <v>7</v>
      </c>
      <c r="B39">
        <f t="shared" si="0"/>
        <v>0.5</v>
      </c>
      <c r="C39">
        <f t="shared" si="1"/>
        <v>3.5</v>
      </c>
      <c r="D39">
        <f t="shared" si="2"/>
        <v>3.5</v>
      </c>
      <c r="E39">
        <f t="shared" si="3"/>
        <v>1577.2477077565695</v>
      </c>
      <c r="F39">
        <f t="shared" si="4"/>
        <v>225.32110110808136</v>
      </c>
      <c r="H39" s="9"/>
      <c r="I39" s="7">
        <v>50</v>
      </c>
      <c r="J39" s="8">
        <v>8895</v>
      </c>
    </row>
    <row r="40" spans="1:10" x14ac:dyDescent="0.3">
      <c r="A40">
        <f t="shared" si="5"/>
        <v>8</v>
      </c>
      <c r="B40">
        <f t="shared" si="0"/>
        <v>0.5</v>
      </c>
      <c r="C40">
        <f t="shared" si="1"/>
        <v>4</v>
      </c>
      <c r="D40">
        <f t="shared" si="2"/>
        <v>4</v>
      </c>
      <c r="E40">
        <f t="shared" si="3"/>
        <v>1781.8204953272675</v>
      </c>
      <c r="F40">
        <f t="shared" si="4"/>
        <v>222.72756191590844</v>
      </c>
      <c r="H40" s="9"/>
      <c r="I40" s="7">
        <v>100</v>
      </c>
      <c r="J40" s="8">
        <v>15899</v>
      </c>
    </row>
    <row r="41" spans="1:10" x14ac:dyDescent="0.3">
      <c r="A41">
        <f t="shared" si="5"/>
        <v>9</v>
      </c>
      <c r="B41">
        <f t="shared" si="0"/>
        <v>0.5</v>
      </c>
      <c r="C41">
        <f t="shared" si="1"/>
        <v>4.5</v>
      </c>
      <c r="D41">
        <f t="shared" si="2"/>
        <v>4.5</v>
      </c>
      <c r="E41">
        <f t="shared" si="3"/>
        <v>1984.1821979694575</v>
      </c>
      <c r="F41">
        <f t="shared" si="4"/>
        <v>220.46468866327305</v>
      </c>
      <c r="H41" s="9"/>
      <c r="I41" s="7"/>
      <c r="J41" s="8"/>
    </row>
    <row r="42" spans="1:10" x14ac:dyDescent="0.3">
      <c r="A42">
        <f t="shared" si="5"/>
        <v>10</v>
      </c>
      <c r="B42">
        <f t="shared" si="0"/>
        <v>0.5</v>
      </c>
      <c r="C42">
        <f t="shared" si="1"/>
        <v>5</v>
      </c>
      <c r="D42">
        <f t="shared" si="2"/>
        <v>5</v>
      </c>
      <c r="E42">
        <f t="shared" si="3"/>
        <v>2184.5996762929362</v>
      </c>
      <c r="F42">
        <f t="shared" si="4"/>
        <v>218.45996762929363</v>
      </c>
      <c r="H42" s="9"/>
      <c r="I42" s="7"/>
      <c r="J42" s="8"/>
    </row>
    <row r="43" spans="1:10" x14ac:dyDescent="0.3">
      <c r="A43">
        <f t="shared" si="5"/>
        <v>11</v>
      </c>
      <c r="B43">
        <f t="shared" si="0"/>
        <v>0.5</v>
      </c>
      <c r="C43">
        <f t="shared" si="1"/>
        <v>5.5</v>
      </c>
      <c r="D43">
        <f t="shared" si="2"/>
        <v>5.5</v>
      </c>
      <c r="E43">
        <f t="shared" si="3"/>
        <v>2383.2840379964555</v>
      </c>
      <c r="F43">
        <f t="shared" si="4"/>
        <v>216.66218527240505</v>
      </c>
      <c r="H43" s="9"/>
      <c r="I43" s="7"/>
      <c r="J43" s="8"/>
    </row>
    <row r="44" spans="1:10" x14ac:dyDescent="0.3">
      <c r="A44">
        <f t="shared" si="5"/>
        <v>12</v>
      </c>
      <c r="B44">
        <f t="shared" si="0"/>
        <v>0.5</v>
      </c>
      <c r="C44">
        <f t="shared" si="1"/>
        <v>6</v>
      </c>
      <c r="D44">
        <f t="shared" si="2"/>
        <v>6</v>
      </c>
      <c r="E44">
        <f t="shared" si="3"/>
        <v>2580.4063204251829</v>
      </c>
      <c r="F44">
        <f t="shared" si="4"/>
        <v>215.0338600354319</v>
      </c>
      <c r="H44" s="9"/>
      <c r="I44" s="7"/>
      <c r="J44" s="8"/>
    </row>
    <row r="45" spans="1:10" x14ac:dyDescent="0.3">
      <c r="A45">
        <f t="shared" si="5"/>
        <v>13</v>
      </c>
      <c r="B45">
        <f t="shared" si="0"/>
        <v>0.5</v>
      </c>
      <c r="C45">
        <f t="shared" si="1"/>
        <v>6.5</v>
      </c>
      <c r="D45">
        <f t="shared" si="2"/>
        <v>6.5</v>
      </c>
      <c r="E45">
        <f t="shared" si="3"/>
        <v>2776.1078145607789</v>
      </c>
      <c r="F45">
        <f t="shared" si="4"/>
        <v>213.54675496621377</v>
      </c>
      <c r="H45" s="9"/>
      <c r="I45" s="7"/>
      <c r="J45" s="8"/>
    </row>
    <row r="46" spans="1:10" x14ac:dyDescent="0.3">
      <c r="A46">
        <f t="shared" si="5"/>
        <v>14</v>
      </c>
      <c r="B46">
        <f t="shared" si="0"/>
        <v>0.5</v>
      </c>
      <c r="C46">
        <f t="shared" si="1"/>
        <v>7</v>
      </c>
      <c r="D46">
        <f t="shared" si="2"/>
        <v>7</v>
      </c>
      <c r="E46">
        <f t="shared" si="3"/>
        <v>2970.5071355742825</v>
      </c>
      <c r="F46">
        <f t="shared" si="4"/>
        <v>212.17908111244876</v>
      </c>
      <c r="H46" s="9"/>
      <c r="I46" s="7"/>
      <c r="J46" s="8"/>
    </row>
    <row r="47" spans="1:10" x14ac:dyDescent="0.3">
      <c r="A47">
        <f t="shared" si="5"/>
        <v>15</v>
      </c>
      <c r="B47">
        <f t="shared" si="0"/>
        <v>0.5</v>
      </c>
      <c r="C47">
        <f t="shared" si="1"/>
        <v>7.5</v>
      </c>
      <c r="D47">
        <f t="shared" si="2"/>
        <v>7.5</v>
      </c>
      <c r="E47">
        <f t="shared" si="3"/>
        <v>3163.7052256881352</v>
      </c>
      <c r="F47">
        <f t="shared" si="4"/>
        <v>210.91368171254234</v>
      </c>
      <c r="H47" s="9"/>
      <c r="I47" s="7"/>
      <c r="J47" s="8"/>
    </row>
    <row r="48" spans="1:10" x14ac:dyDescent="0.3">
      <c r="A48">
        <f t="shared" si="5"/>
        <v>16</v>
      </c>
      <c r="B48">
        <f t="shared" si="0"/>
        <v>0.5</v>
      </c>
      <c r="C48">
        <f t="shared" si="1"/>
        <v>8</v>
      </c>
      <c r="D48">
        <f t="shared" si="2"/>
        <v>8</v>
      </c>
      <c r="E48">
        <f t="shared" si="3"/>
        <v>3355.7889922126628</v>
      </c>
      <c r="F48">
        <f t="shared" si="4"/>
        <v>209.73681201329143</v>
      </c>
      <c r="H48" s="9"/>
      <c r="I48" s="7"/>
      <c r="J48" s="8"/>
    </row>
    <row r="49" spans="1:10" x14ac:dyDescent="0.3">
      <c r="A49">
        <f t="shared" si="5"/>
        <v>17</v>
      </c>
      <c r="B49">
        <f t="shared" si="0"/>
        <v>0.5</v>
      </c>
      <c r="C49">
        <f t="shared" si="1"/>
        <v>8.5</v>
      </c>
      <c r="D49">
        <f t="shared" si="2"/>
        <v>8.5</v>
      </c>
      <c r="E49">
        <f t="shared" si="3"/>
        <v>3546.8340154713205</v>
      </c>
      <c r="F49">
        <f t="shared" si="4"/>
        <v>208.63729502772475</v>
      </c>
      <c r="H49" s="9"/>
      <c r="I49" s="7"/>
      <c r="J49" s="8"/>
    </row>
    <row r="50" spans="1:10" x14ac:dyDescent="0.3">
      <c r="A50">
        <f t="shared" si="5"/>
        <v>18</v>
      </c>
      <c r="B50">
        <f t="shared" si="0"/>
        <v>0.5</v>
      </c>
      <c r="C50">
        <f t="shared" si="1"/>
        <v>9</v>
      </c>
      <c r="D50">
        <f t="shared" si="2"/>
        <v>9</v>
      </c>
      <c r="E50">
        <f t="shared" si="3"/>
        <v>3736.9066053240472</v>
      </c>
      <c r="F50">
        <f t="shared" si="4"/>
        <v>207.60592251800261</v>
      </c>
      <c r="H50" s="9"/>
      <c r="I50" s="7"/>
      <c r="J50" s="8"/>
    </row>
    <row r="51" spans="1:10" x14ac:dyDescent="0.3">
      <c r="A51">
        <f t="shared" si="5"/>
        <v>19</v>
      </c>
      <c r="B51">
        <f t="shared" si="0"/>
        <v>0.5</v>
      </c>
      <c r="C51">
        <f t="shared" si="1"/>
        <v>9.5</v>
      </c>
      <c r="D51">
        <f t="shared" si="2"/>
        <v>9.5</v>
      </c>
      <c r="E51">
        <f t="shared" si="3"/>
        <v>3926.0653905772315</v>
      </c>
      <c r="F51">
        <f t="shared" si="4"/>
        <v>206.63502055669639</v>
      </c>
      <c r="H51" s="9"/>
      <c r="I51" s="7"/>
      <c r="J51" s="8"/>
    </row>
    <row r="52" spans="1:10" x14ac:dyDescent="0.3">
      <c r="A52">
        <f t="shared" si="5"/>
        <v>20</v>
      </c>
      <c r="B52">
        <f t="shared" si="0"/>
        <v>0.5</v>
      </c>
      <c r="C52">
        <f t="shared" si="1"/>
        <v>10</v>
      </c>
      <c r="D52">
        <f t="shared" si="2"/>
        <v>10</v>
      </c>
      <c r="E52">
        <f t="shared" si="3"/>
        <v>4114.3625664428573</v>
      </c>
      <c r="F52">
        <f t="shared" si="4"/>
        <v>205.71812832214286</v>
      </c>
      <c r="H52" s="9"/>
      <c r="I52" s="7"/>
      <c r="J52" s="8"/>
    </row>
    <row r="53" spans="1:10" x14ac:dyDescent="0.3">
      <c r="A53">
        <f t="shared" si="5"/>
        <v>21</v>
      </c>
      <c r="B53">
        <f t="shared" si="0"/>
        <v>0.5</v>
      </c>
      <c r="C53">
        <f t="shared" si="1"/>
        <v>10.5</v>
      </c>
      <c r="D53">
        <f t="shared" si="2"/>
        <v>10.5</v>
      </c>
      <c r="E53">
        <f t="shared" si="3"/>
        <v>4301.8448870721586</v>
      </c>
      <c r="F53">
        <f t="shared" si="4"/>
        <v>204.84975652724566</v>
      </c>
      <c r="H53" s="9"/>
      <c r="I53" s="7"/>
      <c r="J53" s="8"/>
    </row>
    <row r="54" spans="1:10" x14ac:dyDescent="0.3">
      <c r="A54">
        <f t="shared" si="5"/>
        <v>22</v>
      </c>
      <c r="B54">
        <f t="shared" si="0"/>
        <v>0.5</v>
      </c>
      <c r="C54">
        <f t="shared" si="1"/>
        <v>11</v>
      </c>
      <c r="D54">
        <f t="shared" si="2"/>
        <v>11</v>
      </c>
      <c r="E54">
        <f t="shared" si="3"/>
        <v>4488.5544649410349</v>
      </c>
      <c r="F54">
        <f t="shared" si="4"/>
        <v>204.02520295186523</v>
      </c>
      <c r="H54" s="9"/>
      <c r="I54" s="7"/>
      <c r="J54" s="8"/>
    </row>
    <row r="55" spans="1:10" x14ac:dyDescent="0.3">
      <c r="A55">
        <f t="shared" si="5"/>
        <v>23</v>
      </c>
      <c r="B55">
        <f t="shared" si="0"/>
        <v>0.5</v>
      </c>
      <c r="C55">
        <f t="shared" si="1"/>
        <v>11.5</v>
      </c>
      <c r="D55">
        <f t="shared" si="2"/>
        <v>11.5</v>
      </c>
      <c r="E55">
        <f t="shared" si="3"/>
        <v>4674.5294217596393</v>
      </c>
      <c r="F55">
        <f t="shared" si="4"/>
        <v>203.24040964172346</v>
      </c>
      <c r="H55" s="9"/>
      <c r="I55" s="7"/>
      <c r="J55" s="8"/>
    </row>
    <row r="56" spans="1:10" x14ac:dyDescent="0.3">
      <c r="A56">
        <f t="shared" si="5"/>
        <v>24</v>
      </c>
      <c r="B56">
        <f t="shared" si="0"/>
        <v>0.5</v>
      </c>
      <c r="C56">
        <f t="shared" si="1"/>
        <v>12</v>
      </c>
      <c r="D56">
        <f t="shared" si="2"/>
        <v>12</v>
      </c>
      <c r="E56">
        <f t="shared" si="3"/>
        <v>4859.8044237494069</v>
      </c>
      <c r="F56">
        <f t="shared" si="4"/>
        <v>202.49185098955863</v>
      </c>
      <c r="H56" s="9"/>
      <c r="I56" s="7"/>
      <c r="J56" s="8"/>
    </row>
    <row r="57" spans="1:10" x14ac:dyDescent="0.3">
      <c r="A57">
        <f t="shared" si="5"/>
        <v>25</v>
      </c>
      <c r="B57">
        <f t="shared" si="0"/>
        <v>0.5</v>
      </c>
      <c r="C57">
        <f t="shared" si="1"/>
        <v>12.5</v>
      </c>
      <c r="D57">
        <f t="shared" si="2"/>
        <v>12.5</v>
      </c>
      <c r="E57">
        <f t="shared" si="3"/>
        <v>5044.4111257974746</v>
      </c>
      <c r="F57">
        <f t="shared" si="4"/>
        <v>201.77644503189899</v>
      </c>
      <c r="H57" s="9"/>
      <c r="I57" s="7"/>
      <c r="J57" s="8"/>
    </row>
    <row r="58" spans="1:10" x14ac:dyDescent="0.3">
      <c r="A58">
        <f t="shared" si="5"/>
        <v>26</v>
      </c>
      <c r="B58">
        <f t="shared" si="0"/>
        <v>0.5</v>
      </c>
      <c r="C58">
        <f t="shared" si="1"/>
        <v>13</v>
      </c>
      <c r="D58">
        <f t="shared" si="2"/>
        <v>13</v>
      </c>
      <c r="E58">
        <f t="shared" si="3"/>
        <v>5228.3785430291255</v>
      </c>
      <c r="F58">
        <f t="shared" si="4"/>
        <v>201.09148242419712</v>
      </c>
      <c r="H58" s="9"/>
      <c r="I58" s="7"/>
      <c r="J58" s="8"/>
    </row>
    <row r="59" spans="1:10" x14ac:dyDescent="0.3">
      <c r="A59">
        <f t="shared" si="5"/>
        <v>27</v>
      </c>
      <c r="B59">
        <f t="shared" si="0"/>
        <v>0.5</v>
      </c>
      <c r="C59">
        <f t="shared" si="1"/>
        <v>13.5</v>
      </c>
      <c r="D59">
        <f t="shared" si="2"/>
        <v>13.5</v>
      </c>
      <c r="E59">
        <f t="shared" si="3"/>
        <v>5411.7333639973085</v>
      </c>
      <c r="F59">
        <f t="shared" si="4"/>
        <v>200.43456903693735</v>
      </c>
      <c r="H59" s="9"/>
      <c r="I59" s="7"/>
      <c r="J59" s="8"/>
    </row>
    <row r="60" spans="1:10" x14ac:dyDescent="0.3">
      <c r="A60">
        <f t="shared" si="5"/>
        <v>28</v>
      </c>
      <c r="B60">
        <f t="shared" si="0"/>
        <v>0.5</v>
      </c>
      <c r="C60">
        <f t="shared" si="1"/>
        <v>14</v>
      </c>
      <c r="D60">
        <f t="shared" si="2"/>
        <v>14</v>
      </c>
      <c r="E60">
        <f t="shared" si="3"/>
        <v>5594.5002164869866</v>
      </c>
      <c r="F60">
        <f t="shared" si="4"/>
        <v>199.80357916024951</v>
      </c>
      <c r="H60" s="9"/>
      <c r="I60" s="7"/>
      <c r="J60" s="8"/>
    </row>
    <row r="61" spans="1:10" x14ac:dyDescent="0.3">
      <c r="A61">
        <f t="shared" si="5"/>
        <v>29</v>
      </c>
      <c r="B61">
        <f t="shared" si="0"/>
        <v>0.5</v>
      </c>
      <c r="C61">
        <f t="shared" si="1"/>
        <v>14.5</v>
      </c>
      <c r="D61">
        <f t="shared" si="2"/>
        <v>14.5</v>
      </c>
      <c r="E61">
        <f t="shared" si="3"/>
        <v>5776.7018945410564</v>
      </c>
      <c r="F61">
        <f t="shared" si="4"/>
        <v>199.19661705313987</v>
      </c>
      <c r="H61" s="9"/>
      <c r="I61" s="7"/>
      <c r="J61" s="8"/>
    </row>
    <row r="62" spans="1:10" x14ac:dyDescent="0.3">
      <c r="A62">
        <f t="shared" si="5"/>
        <v>30</v>
      </c>
      <c r="B62">
        <f t="shared" si="0"/>
        <v>0.5</v>
      </c>
      <c r="C62">
        <f t="shared" si="1"/>
        <v>15</v>
      </c>
      <c r="D62">
        <f t="shared" si="2"/>
        <v>15</v>
      </c>
      <c r="E62">
        <f t="shared" si="3"/>
        <v>5958.3595535081931</v>
      </c>
      <c r="F62">
        <f t="shared" si="4"/>
        <v>198.61198511693976</v>
      </c>
      <c r="H62" s="9"/>
      <c r="I62" s="7"/>
      <c r="J62" s="8"/>
    </row>
    <row r="63" spans="1:10" x14ac:dyDescent="0.3">
      <c r="A63">
        <f t="shared" si="5"/>
        <v>31</v>
      </c>
      <c r="B63">
        <f t="shared" si="0"/>
        <v>0.5</v>
      </c>
      <c r="C63">
        <f t="shared" si="1"/>
        <v>15.5</v>
      </c>
      <c r="D63">
        <f t="shared" si="2"/>
        <v>15.5</v>
      </c>
      <c r="E63">
        <f t="shared" si="3"/>
        <v>6139.4928785333095</v>
      </c>
      <c r="F63">
        <f t="shared" si="4"/>
        <v>198.04815737204225</v>
      </c>
      <c r="H63" s="9"/>
      <c r="I63" s="7"/>
      <c r="J63" s="8"/>
    </row>
    <row r="64" spans="1:10" x14ac:dyDescent="0.3">
      <c r="A64">
        <f t="shared" si="5"/>
        <v>32</v>
      </c>
      <c r="B64">
        <f t="shared" si="0"/>
        <v>0.5</v>
      </c>
      <c r="C64">
        <f t="shared" si="1"/>
        <v>16</v>
      </c>
      <c r="D64">
        <f t="shared" si="2"/>
        <v>16</v>
      </c>
      <c r="E64">
        <f t="shared" si="3"/>
        <v>6320.1202308469983</v>
      </c>
      <c r="F64">
        <f t="shared" si="4"/>
        <v>197.5037572139687</v>
      </c>
      <c r="H64" s="9"/>
      <c r="I64" s="7"/>
      <c r="J64" s="8"/>
    </row>
    <row r="65" spans="1:10" x14ac:dyDescent="0.3">
      <c r="A65">
        <f t="shared" si="5"/>
        <v>33</v>
      </c>
      <c r="B65">
        <f t="shared" si="0"/>
        <v>0.5</v>
      </c>
      <c r="C65">
        <f t="shared" si="1"/>
        <v>16.5</v>
      </c>
      <c r="D65">
        <f t="shared" si="2"/>
        <v>16.5</v>
      </c>
      <c r="E65">
        <f t="shared" si="3"/>
        <v>6500.2587753819671</v>
      </c>
      <c r="F65">
        <f t="shared" si="4"/>
        <v>196.97753864793839</v>
      </c>
      <c r="H65" s="9"/>
      <c r="I65" s="7"/>
      <c r="J65" s="8"/>
    </row>
    <row r="66" spans="1:10" x14ac:dyDescent="0.3">
      <c r="A66">
        <f t="shared" si="5"/>
        <v>34</v>
      </c>
      <c r="B66">
        <f t="shared" si="0"/>
        <v>0.5</v>
      </c>
      <c r="C66">
        <f t="shared" si="1"/>
        <v>17</v>
      </c>
      <c r="D66">
        <f t="shared" si="2"/>
        <v>17</v>
      </c>
      <c r="E66">
        <f t="shared" si="3"/>
        <v>6679.9245925936984</v>
      </c>
      <c r="F66">
        <f t="shared" si="4"/>
        <v>196.46837037040291</v>
      </c>
      <c r="H66" s="9"/>
      <c r="I66" s="7"/>
      <c r="J66" s="8"/>
    </row>
    <row r="67" spans="1:10" x14ac:dyDescent="0.3">
      <c r="A67">
        <f t="shared" si="5"/>
        <v>35</v>
      </c>
      <c r="B67">
        <f t="shared" si="0"/>
        <v>0.5</v>
      </c>
      <c r="C67">
        <f t="shared" si="1"/>
        <v>17.5</v>
      </c>
      <c r="D67">
        <f t="shared" si="2"/>
        <v>17.5</v>
      </c>
      <c r="E67">
        <f t="shared" si="3"/>
        <v>6859.1327768476776</v>
      </c>
      <c r="F67">
        <f t="shared" si="4"/>
        <v>195.97522219564794</v>
      </c>
      <c r="H67" s="9"/>
      <c r="I67" s="7"/>
      <c r="J67" s="8"/>
    </row>
    <row r="68" spans="1:10" x14ac:dyDescent="0.3">
      <c r="A68">
        <f t="shared" si="5"/>
        <v>36</v>
      </c>
      <c r="B68">
        <f t="shared" si="0"/>
        <v>0.5</v>
      </c>
      <c r="C68">
        <f t="shared" si="1"/>
        <v>18</v>
      </c>
      <c r="D68">
        <f t="shared" si="2"/>
        <v>18</v>
      </c>
      <c r="E68">
        <f t="shared" si="3"/>
        <v>7037.8975233248484</v>
      </c>
      <c r="F68">
        <f t="shared" si="4"/>
        <v>195.49715342569024</v>
      </c>
      <c r="H68" s="9"/>
      <c r="I68" s="7"/>
      <c r="J68" s="8"/>
    </row>
    <row r="69" spans="1:10" x14ac:dyDescent="0.3">
      <c r="A69">
        <f t="shared" si="5"/>
        <v>37</v>
      </c>
      <c r="B69">
        <f t="shared" si="0"/>
        <v>0.5</v>
      </c>
      <c r="C69">
        <f t="shared" si="1"/>
        <v>18.5</v>
      </c>
      <c r="D69">
        <f t="shared" si="2"/>
        <v>18.5</v>
      </c>
      <c r="E69">
        <f t="shared" si="3"/>
        <v>7216.2322050668399</v>
      </c>
      <c r="F69">
        <f t="shared" si="4"/>
        <v>195.03330283964434</v>
      </c>
      <c r="H69" s="9"/>
      <c r="I69" s="7"/>
      <c r="J69" s="8"/>
    </row>
    <row r="70" spans="1:10" x14ac:dyDescent="0.3">
      <c r="A70">
        <f t="shared" si="5"/>
        <v>38</v>
      </c>
      <c r="B70">
        <f t="shared" si="0"/>
        <v>0.5</v>
      </c>
      <c r="C70">
        <f t="shared" si="1"/>
        <v>19</v>
      </c>
      <c r="D70">
        <f t="shared" si="2"/>
        <v>19</v>
      </c>
      <c r="E70">
        <f t="shared" si="3"/>
        <v>7394.1494415161696</v>
      </c>
      <c r="F70">
        <f t="shared" si="4"/>
        <v>194.58288003989921</v>
      </c>
      <c r="H70" s="9"/>
      <c r="I70" s="7"/>
      <c r="J70" s="8"/>
    </row>
    <row r="71" spans="1:10" x14ac:dyDescent="0.3">
      <c r="A71">
        <f t="shared" si="5"/>
        <v>39</v>
      </c>
      <c r="B71">
        <f t="shared" si="0"/>
        <v>0.5</v>
      </c>
      <c r="C71">
        <f t="shared" si="1"/>
        <v>19.5</v>
      </c>
      <c r="D71">
        <f t="shared" si="2"/>
        <v>19.5</v>
      </c>
      <c r="E71">
        <f t="shared" si="3"/>
        <v>7571.6611596892672</v>
      </c>
      <c r="F71">
        <f t="shared" si="4"/>
        <v>194.14515794075044</v>
      </c>
      <c r="H71" s="9"/>
      <c r="I71" s="7"/>
      <c r="J71" s="8"/>
    </row>
    <row r="72" spans="1:10" x14ac:dyDescent="0.3">
      <c r="A72">
        <f t="shared" si="5"/>
        <v>40</v>
      </c>
      <c r="B72">
        <f t="shared" si="0"/>
        <v>0.5</v>
      </c>
      <c r="C72">
        <f t="shared" si="1"/>
        <v>20</v>
      </c>
      <c r="D72">
        <f t="shared" si="2"/>
        <v>20</v>
      </c>
      <c r="E72">
        <f t="shared" si="3"/>
        <v>7748.7786489428963</v>
      </c>
      <c r="F72">
        <f t="shared" si="4"/>
        <v>193.7194662235724</v>
      </c>
      <c r="H72" s="9"/>
      <c r="I72" s="7"/>
      <c r="J72" s="8"/>
    </row>
    <row r="73" spans="1:10" x14ac:dyDescent="0.3">
      <c r="A73">
        <f t="shared" si="5"/>
        <v>41</v>
      </c>
      <c r="B73">
        <f t="shared" si="0"/>
        <v>0.5</v>
      </c>
      <c r="C73">
        <f t="shared" si="1"/>
        <v>20.5</v>
      </c>
      <c r="D73">
        <f t="shared" si="2"/>
        <v>20.5</v>
      </c>
      <c r="E73">
        <f t="shared" si="3"/>
        <v>7925.512610148292</v>
      </c>
      <c r="F73">
        <f t="shared" si="4"/>
        <v>193.30518561337297</v>
      </c>
      <c r="H73" s="9"/>
      <c r="I73" s="7"/>
      <c r="J73" s="8"/>
    </row>
    <row r="74" spans="1:10" x14ac:dyDescent="0.3">
      <c r="A74">
        <f t="shared" si="5"/>
        <v>42</v>
      </c>
      <c r="B74">
        <f t="shared" si="0"/>
        <v>0.5</v>
      </c>
      <c r="C74">
        <f t="shared" si="1"/>
        <v>21</v>
      </c>
      <c r="D74">
        <f t="shared" si="2"/>
        <v>21</v>
      </c>
      <c r="E74">
        <f t="shared" si="3"/>
        <v>8101.8731999665324</v>
      </c>
      <c r="F74">
        <f t="shared" si="4"/>
        <v>192.901742856346</v>
      </c>
      <c r="H74" s="9"/>
      <c r="I74" s="7"/>
      <c r="J74" s="8"/>
    </row>
    <row r="75" spans="1:10" x14ac:dyDescent="0.3">
      <c r="A75">
        <f t="shared" si="5"/>
        <v>43</v>
      </c>
      <c r="B75">
        <f t="shared" si="0"/>
        <v>0.5</v>
      </c>
      <c r="C75">
        <f t="shared" si="1"/>
        <v>21.5</v>
      </c>
      <c r="D75">
        <f t="shared" si="2"/>
        <v>21.5</v>
      </c>
      <c r="E75">
        <f t="shared" si="3"/>
        <v>8277.8700708181623</v>
      </c>
      <c r="F75">
        <f t="shared" si="4"/>
        <v>192.50860629809679</v>
      </c>
      <c r="H75" s="9"/>
      <c r="I75" s="7"/>
      <c r="J75" s="8"/>
    </row>
    <row r="76" spans="1:10" x14ac:dyDescent="0.3">
      <c r="A76">
        <f t="shared" si="5"/>
        <v>44</v>
      </c>
      <c r="B76">
        <f t="shared" si="0"/>
        <v>0.5</v>
      </c>
      <c r="C76">
        <f t="shared" si="1"/>
        <v>22</v>
      </c>
      <c r="D76">
        <f t="shared" si="2"/>
        <v>22</v>
      </c>
      <c r="E76">
        <f t="shared" si="3"/>
        <v>8453.5124070562233</v>
      </c>
      <c r="F76">
        <f t="shared" si="4"/>
        <v>192.12528197855053</v>
      </c>
      <c r="H76" s="9"/>
      <c r="I76" s="7"/>
      <c r="J76" s="8"/>
    </row>
    <row r="77" spans="1:10" x14ac:dyDescent="0.3">
      <c r="A77">
        <f t="shared" si="5"/>
        <v>45</v>
      </c>
      <c r="B77">
        <f t="shared" si="0"/>
        <v>0.5</v>
      </c>
      <c r="C77">
        <f t="shared" si="1"/>
        <v>22.5</v>
      </c>
      <c r="D77">
        <f t="shared" si="2"/>
        <v>22.5</v>
      </c>
      <c r="E77">
        <f t="shared" si="3"/>
        <v>8628.8089577813407</v>
      </c>
      <c r="F77">
        <f t="shared" si="4"/>
        <v>191.75131017291869</v>
      </c>
      <c r="H77" s="9"/>
      <c r="I77" s="7"/>
      <c r="J77" s="8"/>
    </row>
    <row r="78" spans="1:10" x14ac:dyDescent="0.3">
      <c r="A78">
        <f t="shared" si="5"/>
        <v>46</v>
      </c>
      <c r="B78">
        <f t="shared" si="0"/>
        <v>0.5</v>
      </c>
      <c r="C78">
        <f t="shared" si="1"/>
        <v>23</v>
      </c>
      <c r="D78">
        <f t="shared" si="2"/>
        <v>23</v>
      </c>
      <c r="E78">
        <f t="shared" si="3"/>
        <v>8803.7680666783617</v>
      </c>
      <c r="F78">
        <f t="shared" si="4"/>
        <v>191.38626231909481</v>
      </c>
      <c r="H78" s="9"/>
      <c r="I78" s="7"/>
      <c r="J78" s="8"/>
    </row>
    <row r="79" spans="1:10" x14ac:dyDescent="0.3">
      <c r="A79">
        <f t="shared" si="5"/>
        <v>47</v>
      </c>
      <c r="B79">
        <f t="shared" si="0"/>
        <v>0.5</v>
      </c>
      <c r="C79">
        <f t="shared" si="1"/>
        <v>23.5</v>
      </c>
      <c r="D79">
        <f t="shared" si="2"/>
        <v>23.5</v>
      </c>
      <c r="E79">
        <f t="shared" si="3"/>
        <v>8978.3976992036587</v>
      </c>
      <c r="F79">
        <f t="shared" si="4"/>
        <v>191.02973828092891</v>
      </c>
      <c r="H79" s="9"/>
      <c r="I79" s="7"/>
      <c r="J79" s="8"/>
    </row>
    <row r="80" spans="1:10" x14ac:dyDescent="0.3">
      <c r="A80">
        <f t="shared" si="5"/>
        <v>48</v>
      </c>
      <c r="B80">
        <f t="shared" si="0"/>
        <v>0.5</v>
      </c>
      <c r="C80">
        <f t="shared" si="1"/>
        <v>24</v>
      </c>
      <c r="D80">
        <f t="shared" si="2"/>
        <v>24</v>
      </c>
      <c r="E80">
        <f t="shared" si="3"/>
        <v>9152.705467409769</v>
      </c>
      <c r="F80">
        <f t="shared" si="4"/>
        <v>190.68136390437019</v>
      </c>
      <c r="H80" s="9"/>
      <c r="I80" s="7"/>
      <c r="J80" s="8"/>
    </row>
    <row r="81" spans="1:10" x14ac:dyDescent="0.3">
      <c r="A81">
        <f t="shared" si="5"/>
        <v>49</v>
      </c>
      <c r="B81">
        <f t="shared" si="0"/>
        <v>0.5</v>
      </c>
      <c r="C81">
        <f t="shared" si="1"/>
        <v>24.5</v>
      </c>
      <c r="D81">
        <f t="shared" si="2"/>
        <v>24.5</v>
      </c>
      <c r="E81">
        <f t="shared" si="3"/>
        <v>9326.6986526575693</v>
      </c>
      <c r="F81">
        <f t="shared" si="4"/>
        <v>190.34078882974632</v>
      </c>
      <c r="H81" s="9"/>
      <c r="I81" s="7"/>
      <c r="J81" s="8"/>
    </row>
    <row r="82" spans="1:10" x14ac:dyDescent="0.3">
      <c r="A82">
        <f t="shared" si="5"/>
        <v>50</v>
      </c>
      <c r="B82">
        <f t="shared" si="0"/>
        <v>0.5</v>
      </c>
      <c r="C82">
        <f t="shared" si="1"/>
        <v>25</v>
      </c>
      <c r="D82">
        <f t="shared" si="2"/>
        <v>25</v>
      </c>
      <c r="E82">
        <f t="shared" si="3"/>
        <v>9500.3842264352716</v>
      </c>
      <c r="F82">
        <f t="shared" si="4"/>
        <v>190.00768452870543</v>
      </c>
      <c r="H82" s="9"/>
      <c r="I82" s="7"/>
      <c r="J82" s="8"/>
    </row>
    <row r="83" spans="1:10" x14ac:dyDescent="0.3">
      <c r="A83">
        <f t="shared" si="5"/>
        <v>51</v>
      </c>
      <c r="B83">
        <f t="shared" si="0"/>
        <v>0.5</v>
      </c>
      <c r="C83">
        <f t="shared" si="1"/>
        <v>25.5</v>
      </c>
      <c r="D83">
        <f t="shared" si="2"/>
        <v>25.5</v>
      </c>
      <c r="E83">
        <f t="shared" si="3"/>
        <v>9673.7688694766493</v>
      </c>
      <c r="F83">
        <f t="shared" si="4"/>
        <v>189.68174253875782</v>
      </c>
      <c r="H83" s="9"/>
      <c r="I83" s="7"/>
      <c r="J83" s="8"/>
    </row>
    <row r="84" spans="1:10" x14ac:dyDescent="0.3">
      <c r="A84">
        <f t="shared" si="5"/>
        <v>52</v>
      </c>
      <c r="B84">
        <f t="shared" si="0"/>
        <v>0.5</v>
      </c>
      <c r="C84">
        <f t="shared" si="1"/>
        <v>26</v>
      </c>
      <c r="D84">
        <f t="shared" si="2"/>
        <v>26</v>
      </c>
      <c r="E84">
        <f t="shared" si="3"/>
        <v>9846.8589893481203</v>
      </c>
      <c r="F84">
        <f t="shared" si="4"/>
        <v>189.36267287207923</v>
      </c>
      <c r="H84" s="9"/>
      <c r="I84" s="7"/>
      <c r="J84" s="8"/>
    </row>
    <row r="85" spans="1:10" x14ac:dyDescent="0.3">
      <c r="A85">
        <f t="shared" si="5"/>
        <v>53</v>
      </c>
      <c r="B85">
        <f t="shared" si="0"/>
        <v>0.5</v>
      </c>
      <c r="C85">
        <f t="shared" si="1"/>
        <v>26.5</v>
      </c>
      <c r="D85">
        <f t="shared" si="2"/>
        <v>26.5</v>
      </c>
      <c r="E85">
        <f t="shared" si="3"/>
        <v>10019.660736654359</v>
      </c>
      <c r="F85">
        <f t="shared" si="4"/>
        <v>189.05020257838413</v>
      </c>
      <c r="H85" s="9"/>
      <c r="I85" s="7"/>
      <c r="J85" s="8"/>
    </row>
    <row r="86" spans="1:10" x14ac:dyDescent="0.3">
      <c r="A86">
        <f t="shared" si="5"/>
        <v>54</v>
      </c>
      <c r="B86">
        <f t="shared" si="0"/>
        <v>0.5</v>
      </c>
      <c r="C86">
        <f t="shared" si="1"/>
        <v>27</v>
      </c>
      <c r="D86">
        <f t="shared" si="2"/>
        <v>27</v>
      </c>
      <c r="E86">
        <f t="shared" si="3"/>
        <v>10192.180019995003</v>
      </c>
      <c r="F86">
        <f t="shared" si="4"/>
        <v>188.7440744443519</v>
      </c>
      <c r="H86" s="9"/>
      <c r="I86" s="7"/>
      <c r="J86" s="8"/>
    </row>
    <row r="87" spans="1:10" x14ac:dyDescent="0.3">
      <c r="A87">
        <f t="shared" si="5"/>
        <v>55</v>
      </c>
      <c r="B87">
        <f t="shared" si="0"/>
        <v>0.5</v>
      </c>
      <c r="C87">
        <f t="shared" si="1"/>
        <v>27.5</v>
      </c>
      <c r="D87">
        <f t="shared" si="2"/>
        <v>27.5</v>
      </c>
      <c r="E87">
        <f t="shared" si="3"/>
        <v>10364.42251979002</v>
      </c>
      <c r="F87">
        <f t="shared" si="4"/>
        <v>188.44404581436399</v>
      </c>
      <c r="H87" s="9"/>
      <c r="I87" s="7"/>
      <c r="J87" s="8"/>
    </row>
    <row r="88" spans="1:10" x14ac:dyDescent="0.3">
      <c r="A88">
        <f t="shared" si="5"/>
        <v>56</v>
      </c>
      <c r="B88">
        <f t="shared" si="0"/>
        <v>0.5</v>
      </c>
      <c r="C88">
        <f t="shared" si="1"/>
        <v>28</v>
      </c>
      <c r="D88">
        <f t="shared" si="2"/>
        <v>28</v>
      </c>
      <c r="E88">
        <f t="shared" si="3"/>
        <v>10536.393701078281</v>
      </c>
      <c r="F88">
        <f t="shared" si="4"/>
        <v>188.14988751925503</v>
      </c>
      <c r="H88" s="9"/>
      <c r="I88" s="7"/>
      <c r="J88" s="8"/>
    </row>
    <row r="89" spans="1:10" x14ac:dyDescent="0.3">
      <c r="A89">
        <f t="shared" si="5"/>
        <v>57</v>
      </c>
      <c r="B89">
        <f t="shared" si="0"/>
        <v>0.5</v>
      </c>
      <c r="C89">
        <f t="shared" si="1"/>
        <v>28.5</v>
      </c>
      <c r="D89">
        <f t="shared" si="2"/>
        <v>28.5</v>
      </c>
      <c r="E89">
        <f t="shared" si="3"/>
        <v>10708.098825382662</v>
      </c>
      <c r="F89">
        <f t="shared" si="4"/>
        <v>187.86138290145021</v>
      </c>
      <c r="H89" s="9"/>
      <c r="I89" s="7"/>
      <c r="J89" s="8"/>
    </row>
    <row r="90" spans="1:10" x14ac:dyDescent="0.3">
      <c r="A90">
        <f t="shared" si="5"/>
        <v>58</v>
      </c>
      <c r="B90">
        <f t="shared" si="0"/>
        <v>0.5</v>
      </c>
      <c r="C90">
        <f t="shared" si="1"/>
        <v>29</v>
      </c>
      <c r="D90">
        <f t="shared" si="2"/>
        <v>29</v>
      </c>
      <c r="E90">
        <f t="shared" si="3"/>
        <v>10879.542961724877</v>
      </c>
      <c r="F90">
        <f t="shared" si="4"/>
        <v>187.578326926291</v>
      </c>
      <c r="H90" s="9"/>
      <c r="I90" s="7"/>
      <c r="J90" s="8"/>
    </row>
    <row r="91" spans="1:10" x14ac:dyDescent="0.3">
      <c r="A91">
        <f t="shared" si="5"/>
        <v>59</v>
      </c>
      <c r="B91">
        <f t="shared" si="0"/>
        <v>0.5</v>
      </c>
      <c r="C91">
        <f t="shared" si="1"/>
        <v>29.5</v>
      </c>
      <c r="D91">
        <f t="shared" si="2"/>
        <v>29.5</v>
      </c>
      <c r="E91">
        <f t="shared" si="3"/>
        <v>11050.73099686455</v>
      </c>
      <c r="F91">
        <f t="shared" si="4"/>
        <v>187.30052537058558</v>
      </c>
      <c r="H91" s="9"/>
      <c r="I91" s="7"/>
      <c r="J91" s="8"/>
    </row>
    <row r="92" spans="1:10" x14ac:dyDescent="0.3">
      <c r="A92">
        <f t="shared" si="5"/>
        <v>60</v>
      </c>
      <c r="B92">
        <f t="shared" si="0"/>
        <v>0.5</v>
      </c>
      <c r="C92">
        <f t="shared" si="1"/>
        <v>30</v>
      </c>
      <c r="D92">
        <f t="shared" si="2"/>
        <v>30</v>
      </c>
      <c r="E92">
        <f t="shared" si="3"/>
        <v>11221.667644829431</v>
      </c>
      <c r="F92">
        <f t="shared" si="4"/>
        <v>187.02779408049051</v>
      </c>
      <c r="H92" s="9"/>
      <c r="I92" s="7"/>
      <c r="J92" s="8"/>
    </row>
    <row r="93" spans="1:10" x14ac:dyDescent="0.3">
      <c r="A93">
        <f t="shared" si="5"/>
        <v>61</v>
      </c>
      <c r="B93">
        <f t="shared" si="0"/>
        <v>0.5</v>
      </c>
      <c r="C93">
        <f t="shared" si="1"/>
        <v>30.5</v>
      </c>
      <c r="D93">
        <f t="shared" si="2"/>
        <v>30.5</v>
      </c>
      <c r="E93">
        <f t="shared" si="3"/>
        <v>11392.357455796873</v>
      </c>
      <c r="F93">
        <f t="shared" si="4"/>
        <v>186.75995829175201</v>
      </c>
      <c r="H93" s="9"/>
      <c r="I93" s="7"/>
      <c r="J93" s="8"/>
    </row>
    <row r="94" spans="1:10" x14ac:dyDescent="0.3">
      <c r="A94">
        <f t="shared" si="5"/>
        <v>62</v>
      </c>
      <c r="B94">
        <f t="shared" si="0"/>
        <v>0.5</v>
      </c>
      <c r="C94">
        <f t="shared" si="1"/>
        <v>31</v>
      </c>
      <c r="D94">
        <f t="shared" si="2"/>
        <v>31</v>
      </c>
      <c r="E94">
        <f t="shared" si="3"/>
        <v>11562.804824380462</v>
      </c>
      <c r="F94">
        <f t="shared" si="4"/>
        <v>186.49685200613649</v>
      </c>
      <c r="H94" s="9"/>
      <c r="I94" s="7"/>
      <c r="J94" s="8"/>
    </row>
    <row r="95" spans="1:10" x14ac:dyDescent="0.3">
      <c r="A95">
        <f t="shared" si="5"/>
        <v>63</v>
      </c>
      <c r="B95">
        <f t="shared" si="0"/>
        <v>0.5</v>
      </c>
      <c r="C95">
        <f t="shared" si="1"/>
        <v>31.5</v>
      </c>
      <c r="D95">
        <f t="shared" si="2"/>
        <v>31.5</v>
      </c>
      <c r="E95">
        <f t="shared" si="3"/>
        <v>11733.013997370816</v>
      </c>
      <c r="F95">
        <f t="shared" si="4"/>
        <v>186.23831741858439</v>
      </c>
      <c r="H95" s="9"/>
      <c r="I95" s="7"/>
      <c r="J95" s="8"/>
    </row>
    <row r="96" spans="1:10" x14ac:dyDescent="0.3">
      <c r="A96">
        <f t="shared" si="5"/>
        <v>64</v>
      </c>
      <c r="B96">
        <f t="shared" si="0"/>
        <v>0.5</v>
      </c>
      <c r="C96">
        <f t="shared" si="1"/>
        <v>32</v>
      </c>
      <c r="D96">
        <f t="shared" si="2"/>
        <v>32</v>
      </c>
      <c r="E96">
        <f t="shared" si="3"/>
        <v>11902.989080974425</v>
      </c>
      <c r="F96">
        <f t="shared" si="4"/>
        <v>185.98420439022539</v>
      </c>
      <c r="H96" s="9"/>
      <c r="I96" s="7"/>
      <c r="J96" s="8"/>
    </row>
    <row r="97" spans="1:10" x14ac:dyDescent="0.3">
      <c r="A97">
        <f t="shared" si="5"/>
        <v>65</v>
      </c>
      <c r="B97">
        <f t="shared" si="0"/>
        <v>0.5</v>
      </c>
      <c r="C97">
        <f t="shared" si="1"/>
        <v>32.5</v>
      </c>
      <c r="D97">
        <f t="shared" si="2"/>
        <v>32.5</v>
      </c>
      <c r="E97">
        <f t="shared" si="3"/>
        <v>12072.734047590504</v>
      </c>
      <c r="F97">
        <f t="shared" si="4"/>
        <v>185.73436996293083</v>
      </c>
      <c r="H97" s="9"/>
      <c r="I97" s="7"/>
      <c r="J97" s="8"/>
    </row>
    <row r="98" spans="1:10" x14ac:dyDescent="0.3">
      <c r="A98">
        <f t="shared" si="5"/>
        <v>66</v>
      </c>
      <c r="B98">
        <f t="shared" ref="B98:B161" si="6">$B$4</f>
        <v>0.5</v>
      </c>
      <c r="C98">
        <f t="shared" ref="C98:C161" si="7">A98*B98</f>
        <v>33</v>
      </c>
      <c r="D98">
        <f t="shared" ref="D98:D161" si="8">A98*B98</f>
        <v>33</v>
      </c>
      <c r="E98">
        <f t="shared" ref="E98:E161" si="9">266.73*A98^0.9133</f>
        <v>12242.252742161929</v>
      </c>
      <c r="F98">
        <f t="shared" ref="F98:F161" si="10">E98/A98</f>
        <v>185.48867791154439</v>
      </c>
      <c r="H98" s="9"/>
      <c r="I98" s="7"/>
      <c r="J98" s="8"/>
    </row>
    <row r="99" spans="1:10" x14ac:dyDescent="0.3">
      <c r="A99">
        <f t="shared" ref="A99:A162" si="11">A98+1</f>
        <v>67</v>
      </c>
      <c r="B99">
        <f t="shared" si="6"/>
        <v>0.5</v>
      </c>
      <c r="C99">
        <f t="shared" si="7"/>
        <v>33.5</v>
      </c>
      <c r="D99">
        <f t="shared" si="8"/>
        <v>33.5</v>
      </c>
      <c r="E99">
        <f t="shared" si="9"/>
        <v>12411.548888133188</v>
      </c>
      <c r="F99">
        <f t="shared" si="10"/>
        <v>185.24699833034609</v>
      </c>
      <c r="H99" s="9"/>
      <c r="I99" s="7"/>
      <c r="J99" s="8"/>
    </row>
    <row r="100" spans="1:10" x14ac:dyDescent="0.3">
      <c r="A100">
        <f t="shared" si="11"/>
        <v>68</v>
      </c>
      <c r="B100">
        <f t="shared" si="6"/>
        <v>0.5</v>
      </c>
      <c r="C100">
        <f t="shared" si="7"/>
        <v>34</v>
      </c>
      <c r="D100">
        <f t="shared" si="8"/>
        <v>34</v>
      </c>
      <c r="E100">
        <f t="shared" si="9"/>
        <v>12580.626093044999</v>
      </c>
      <c r="F100">
        <f t="shared" si="10"/>
        <v>185.00920725066175</v>
      </c>
      <c r="H100" s="9"/>
      <c r="I100" s="7"/>
      <c r="J100" s="8"/>
    </row>
    <row r="101" spans="1:10" x14ac:dyDescent="0.3">
      <c r="A101">
        <f t="shared" si="11"/>
        <v>69</v>
      </c>
      <c r="B101">
        <f t="shared" si="6"/>
        <v>0.5</v>
      </c>
      <c r="C101">
        <f t="shared" si="7"/>
        <v>34.5</v>
      </c>
      <c r="D101">
        <f t="shared" si="8"/>
        <v>34.5</v>
      </c>
      <c r="E101">
        <f t="shared" si="9"/>
        <v>12749.487853792902</v>
      </c>
      <c r="F101">
        <f t="shared" si="10"/>
        <v>184.77518628685365</v>
      </c>
      <c r="H101" s="9"/>
      <c r="I101" s="7"/>
      <c r="J101" s="8"/>
    </row>
    <row r="102" spans="1:10" x14ac:dyDescent="0.3">
      <c r="A102">
        <f t="shared" si="11"/>
        <v>70</v>
      </c>
      <c r="B102">
        <f t="shared" si="6"/>
        <v>0.5</v>
      </c>
      <c r="C102">
        <f t="shared" si="7"/>
        <v>35</v>
      </c>
      <c r="D102">
        <f t="shared" si="8"/>
        <v>35</v>
      </c>
      <c r="E102">
        <f t="shared" si="9"/>
        <v>12918.137561574542</v>
      </c>
      <c r="F102">
        <f t="shared" si="10"/>
        <v>184.54482230820773</v>
      </c>
      <c r="H102" s="9"/>
      <c r="I102" s="7"/>
      <c r="J102" s="8"/>
    </row>
    <row r="103" spans="1:10" x14ac:dyDescent="0.3">
      <c r="A103">
        <f t="shared" si="11"/>
        <v>71</v>
      </c>
      <c r="B103">
        <f t="shared" si="6"/>
        <v>0.5</v>
      </c>
      <c r="C103">
        <f t="shared" si="7"/>
        <v>35.5</v>
      </c>
      <c r="D103">
        <f t="shared" si="8"/>
        <v>35.5</v>
      </c>
      <c r="E103">
        <f t="shared" si="9"/>
        <v>13086.57850654824</v>
      </c>
      <c r="F103">
        <f t="shared" si="10"/>
        <v>184.31800713448226</v>
      </c>
      <c r="H103" s="9"/>
      <c r="I103" s="7"/>
      <c r="J103" s="8"/>
    </row>
    <row r="104" spans="1:10" x14ac:dyDescent="0.3">
      <c r="A104">
        <f t="shared" si="11"/>
        <v>72</v>
      </c>
      <c r="B104">
        <f t="shared" si="6"/>
        <v>0.5</v>
      </c>
      <c r="C104">
        <f t="shared" si="7"/>
        <v>36</v>
      </c>
      <c r="D104">
        <f t="shared" si="8"/>
        <v>36</v>
      </c>
      <c r="E104">
        <f t="shared" si="9"/>
        <v>13254.813882223538</v>
      </c>
      <c r="F104">
        <f t="shared" si="10"/>
        <v>184.09463725310468</v>
      </c>
      <c r="H104" s="9"/>
      <c r="I104" s="7"/>
      <c r="J104" s="8"/>
    </row>
    <row r="105" spans="1:10" x14ac:dyDescent="0.3">
      <c r="A105">
        <f t="shared" si="11"/>
        <v>73</v>
      </c>
      <c r="B105">
        <f t="shared" si="6"/>
        <v>0.5</v>
      </c>
      <c r="C105">
        <f t="shared" si="7"/>
        <v>36.5</v>
      </c>
      <c r="D105">
        <f t="shared" si="8"/>
        <v>36.5</v>
      </c>
      <c r="E105">
        <f t="shared" si="9"/>
        <v>13422.846789602654</v>
      </c>
      <c r="F105">
        <f t="shared" si="10"/>
        <v>183.87461355620073</v>
      </c>
      <c r="H105" s="9"/>
      <c r="I105" s="7"/>
      <c r="J105" s="8"/>
    </row>
    <row r="106" spans="1:10" x14ac:dyDescent="0.3">
      <c r="A106">
        <f t="shared" si="11"/>
        <v>74</v>
      </c>
      <c r="B106">
        <f t="shared" si="6"/>
        <v>0.5</v>
      </c>
      <c r="C106">
        <f t="shared" si="7"/>
        <v>37</v>
      </c>
      <c r="D106">
        <f t="shared" si="8"/>
        <v>37</v>
      </c>
      <c r="E106">
        <f t="shared" si="9"/>
        <v>13590.680241090189</v>
      </c>
      <c r="F106">
        <f t="shared" si="10"/>
        <v>183.65784109581335</v>
      </c>
      <c r="H106" s="9"/>
      <c r="I106" s="7"/>
      <c r="J106" s="8"/>
    </row>
    <row r="107" spans="1:10" x14ac:dyDescent="0.3">
      <c r="A107">
        <f t="shared" si="11"/>
        <v>75</v>
      </c>
      <c r="B107">
        <f t="shared" si="6"/>
        <v>0.5</v>
      </c>
      <c r="C107">
        <f t="shared" si="7"/>
        <v>37.5</v>
      </c>
      <c r="D107">
        <f t="shared" si="8"/>
        <v>37.5</v>
      </c>
      <c r="E107">
        <f t="shared" si="9"/>
        <v>13758.317164186976</v>
      </c>
      <c r="F107">
        <f t="shared" si="10"/>
        <v>183.44422885582634</v>
      </c>
      <c r="H107" s="9"/>
      <c r="I107" s="7"/>
      <c r="J107" s="8"/>
    </row>
    <row r="108" spans="1:10" x14ac:dyDescent="0.3">
      <c r="A108">
        <f t="shared" si="11"/>
        <v>76</v>
      </c>
      <c r="B108">
        <f t="shared" si="6"/>
        <v>0.5</v>
      </c>
      <c r="C108">
        <f t="shared" si="7"/>
        <v>38</v>
      </c>
      <c r="D108">
        <f t="shared" si="8"/>
        <v>38</v>
      </c>
      <c r="E108">
        <f t="shared" si="9"/>
        <v>13925.760404982844</v>
      </c>
      <c r="F108">
        <f t="shared" si="10"/>
        <v>183.23368953924796</v>
      </c>
      <c r="H108" s="9"/>
      <c r="I108" s="7"/>
      <c r="J108" s="8"/>
    </row>
    <row r="109" spans="1:10" x14ac:dyDescent="0.3">
      <c r="A109">
        <f t="shared" si="11"/>
        <v>77</v>
      </c>
      <c r="B109">
        <f t="shared" si="6"/>
        <v>0.5</v>
      </c>
      <c r="C109">
        <f t="shared" si="7"/>
        <v>38.5</v>
      </c>
      <c r="D109">
        <f t="shared" si="8"/>
        <v>38.5</v>
      </c>
      <c r="E109">
        <f t="shared" si="9"/>
        <v>14093.012731461517</v>
      </c>
      <c r="F109">
        <f t="shared" si="10"/>
        <v>183.02613936963007</v>
      </c>
      <c r="H109" s="9"/>
      <c r="I109" s="7"/>
      <c r="J109" s="8"/>
    </row>
    <row r="110" spans="1:10" x14ac:dyDescent="0.3">
      <c r="A110">
        <f t="shared" si="11"/>
        <v>78</v>
      </c>
      <c r="B110">
        <f t="shared" si="6"/>
        <v>0.5</v>
      </c>
      <c r="C110">
        <f t="shared" si="7"/>
        <v>39</v>
      </c>
      <c r="D110">
        <f t="shared" si="8"/>
        <v>39</v>
      </c>
      <c r="E110">
        <f t="shared" si="9"/>
        <v>14260.076836630255</v>
      </c>
      <c r="F110">
        <f t="shared" si="10"/>
        <v>182.82149790551608</v>
      </c>
      <c r="H110" s="9"/>
      <c r="I110" s="7"/>
      <c r="J110" s="8"/>
    </row>
    <row r="111" spans="1:10" x14ac:dyDescent="0.3">
      <c r="A111">
        <f t="shared" si="11"/>
        <v>79</v>
      </c>
      <c r="B111">
        <f t="shared" si="6"/>
        <v>0.5</v>
      </c>
      <c r="C111">
        <f t="shared" si="7"/>
        <v>39.5</v>
      </c>
      <c r="D111">
        <f t="shared" si="8"/>
        <v>39.5</v>
      </c>
      <c r="E111">
        <f t="shared" si="9"/>
        <v>14426.955341485615</v>
      </c>
      <c r="F111">
        <f t="shared" si="10"/>
        <v>182.6196878669065</v>
      </c>
      <c r="H111" s="9"/>
      <c r="I111" s="7"/>
      <c r="J111" s="8"/>
    </row>
    <row r="112" spans="1:10" x14ac:dyDescent="0.3">
      <c r="A112">
        <f t="shared" si="11"/>
        <v>80</v>
      </c>
      <c r="B112">
        <f t="shared" si="6"/>
        <v>0.5</v>
      </c>
      <c r="C112">
        <f t="shared" si="7"/>
        <v>40</v>
      </c>
      <c r="D112">
        <f t="shared" si="8"/>
        <v>40</v>
      </c>
      <c r="E112">
        <f t="shared" si="9"/>
        <v>14593.65079782576</v>
      </c>
      <c r="F112">
        <f t="shared" si="10"/>
        <v>182.420634972822</v>
      </c>
      <c r="H112" s="9"/>
      <c r="I112" s="7"/>
      <c r="J112" s="8"/>
    </row>
    <row r="113" spans="1:10" x14ac:dyDescent="0.3">
      <c r="A113">
        <f t="shared" si="11"/>
        <v>81</v>
      </c>
      <c r="B113">
        <f t="shared" si="6"/>
        <v>0.5</v>
      </c>
      <c r="C113">
        <f t="shared" si="7"/>
        <v>40.5</v>
      </c>
      <c r="D113">
        <f t="shared" si="8"/>
        <v>40.5</v>
      </c>
      <c r="E113">
        <f t="shared" si="9"/>
        <v>14760.16569091931</v>
      </c>
      <c r="F113">
        <f t="shared" si="10"/>
        <v>182.22426778912728</v>
      </c>
      <c r="H113" s="9"/>
      <c r="I113" s="7"/>
      <c r="J113" s="8"/>
    </row>
    <row r="114" spans="1:10" x14ac:dyDescent="0.3">
      <c r="A114">
        <f t="shared" si="11"/>
        <v>82</v>
      </c>
      <c r="B114">
        <f t="shared" si="6"/>
        <v>0.5</v>
      </c>
      <c r="C114">
        <f t="shared" si="7"/>
        <v>41</v>
      </c>
      <c r="D114">
        <f t="shared" si="8"/>
        <v>41</v>
      </c>
      <c r="E114">
        <f t="shared" si="9"/>
        <v>14926.502442039384</v>
      </c>
      <c r="F114">
        <f t="shared" si="10"/>
        <v>182.03051758584616</v>
      </c>
      <c r="H114" s="9"/>
      <c r="I114" s="7"/>
      <c r="J114" s="8"/>
    </row>
    <row r="115" spans="1:10" x14ac:dyDescent="0.3">
      <c r="A115">
        <f t="shared" si="11"/>
        <v>83</v>
      </c>
      <c r="B115">
        <f t="shared" si="6"/>
        <v>0.5</v>
      </c>
      <c r="C115">
        <f t="shared" si="7"/>
        <v>41.5</v>
      </c>
      <c r="D115">
        <f t="shared" si="8"/>
        <v>41.5</v>
      </c>
      <c r="E115">
        <f t="shared" si="9"/>
        <v>15092.663410871675</v>
      </c>
      <c r="F115">
        <f t="shared" si="10"/>
        <v>181.83931820327319</v>
      </c>
      <c r="H115" s="9"/>
      <c r="I115" s="7"/>
      <c r="J115" s="8"/>
    </row>
    <row r="116" spans="1:10" x14ac:dyDescent="0.3">
      <c r="A116">
        <f t="shared" si="11"/>
        <v>84</v>
      </c>
      <c r="B116">
        <f t="shared" si="6"/>
        <v>0.5</v>
      </c>
      <c r="C116">
        <f t="shared" si="7"/>
        <v>42</v>
      </c>
      <c r="D116">
        <f t="shared" si="8"/>
        <v>42</v>
      </c>
      <c r="E116">
        <f t="shared" si="9"/>
        <v>15258.650897803713</v>
      </c>
      <c r="F116">
        <f t="shared" si="10"/>
        <v>181.65060592623468</v>
      </c>
      <c r="H116" s="9"/>
      <c r="I116" s="7"/>
      <c r="J116" s="8"/>
    </row>
    <row r="117" spans="1:10" x14ac:dyDescent="0.3">
      <c r="A117">
        <f t="shared" si="11"/>
        <v>85</v>
      </c>
      <c r="B117">
        <f t="shared" si="6"/>
        <v>0.5</v>
      </c>
      <c r="C117">
        <f t="shared" si="7"/>
        <v>42.5</v>
      </c>
      <c r="D117">
        <f t="shared" si="8"/>
        <v>42.5</v>
      </c>
      <c r="E117">
        <f t="shared" si="9"/>
        <v>15424.467146103085</v>
      </c>
      <c r="F117">
        <f t="shared" si="10"/>
        <v>181.46431936591864</v>
      </c>
      <c r="H117" s="9"/>
      <c r="I117" s="7"/>
      <c r="J117" s="8"/>
    </row>
    <row r="118" spans="1:10" x14ac:dyDescent="0.3">
      <c r="A118">
        <f t="shared" si="11"/>
        <v>86</v>
      </c>
      <c r="B118">
        <f t="shared" si="6"/>
        <v>0.5</v>
      </c>
      <c r="C118">
        <f t="shared" si="7"/>
        <v>43</v>
      </c>
      <c r="D118">
        <f t="shared" si="8"/>
        <v>43</v>
      </c>
      <c r="E118">
        <f t="shared" si="9"/>
        <v>15590.114343990695</v>
      </c>
      <c r="F118">
        <f t="shared" si="10"/>
        <v>181.28039934872902</v>
      </c>
      <c r="H118" s="9"/>
      <c r="I118" s="7"/>
      <c r="J118" s="8"/>
    </row>
    <row r="119" spans="1:10" x14ac:dyDescent="0.3">
      <c r="A119">
        <f t="shared" si="11"/>
        <v>87</v>
      </c>
      <c r="B119">
        <f t="shared" si="6"/>
        <v>0.5</v>
      </c>
      <c r="C119">
        <f t="shared" si="7"/>
        <v>43.5</v>
      </c>
      <c r="D119">
        <f t="shared" si="8"/>
        <v>43.5</v>
      </c>
      <c r="E119">
        <f t="shared" si="9"/>
        <v>15755.594626615797</v>
      </c>
      <c r="F119">
        <f t="shared" si="10"/>
        <v>181.09878881167583</v>
      </c>
      <c r="H119" s="9"/>
      <c r="I119" s="7"/>
      <c r="J119" s="8"/>
    </row>
    <row r="120" spans="1:10" x14ac:dyDescent="0.3">
      <c r="A120">
        <f t="shared" si="11"/>
        <v>88</v>
      </c>
      <c r="B120">
        <f t="shared" si="6"/>
        <v>0.5</v>
      </c>
      <c r="C120">
        <f t="shared" si="7"/>
        <v>44</v>
      </c>
      <c r="D120">
        <f t="shared" si="8"/>
        <v>44</v>
      </c>
      <c r="E120">
        <f t="shared" si="9"/>
        <v>15920.910077938051</v>
      </c>
      <c r="F120">
        <f t="shared" si="10"/>
        <v>180.91943270384149</v>
      </c>
      <c r="H120" s="9"/>
      <c r="I120" s="7"/>
      <c r="J120" s="8"/>
    </row>
    <row r="121" spans="1:10" x14ac:dyDescent="0.3">
      <c r="A121">
        <f t="shared" si="11"/>
        <v>89</v>
      </c>
      <c r="B121">
        <f t="shared" si="6"/>
        <v>0.5</v>
      </c>
      <c r="C121">
        <f t="shared" si="7"/>
        <v>44.5</v>
      </c>
      <c r="D121">
        <f t="shared" si="8"/>
        <v>44.5</v>
      </c>
      <c r="E121">
        <f t="shared" si="9"/>
        <v>16086.062732522378</v>
      </c>
      <c r="F121">
        <f t="shared" si="10"/>
        <v>180.74227789350985</v>
      </c>
      <c r="H121" s="9"/>
      <c r="I121" s="7"/>
      <c r="J121" s="8"/>
    </row>
    <row r="122" spans="1:10" x14ac:dyDescent="0.3">
      <c r="A122">
        <f t="shared" si="11"/>
        <v>90</v>
      </c>
      <c r="B122">
        <f t="shared" si="6"/>
        <v>0.5</v>
      </c>
      <c r="C122">
        <f t="shared" si="7"/>
        <v>45</v>
      </c>
      <c r="D122">
        <f t="shared" si="8"/>
        <v>45</v>
      </c>
      <c r="E122">
        <f t="shared" si="9"/>
        <v>16251.054577251458</v>
      </c>
      <c r="F122">
        <f t="shared" si="10"/>
        <v>180.56727308057177</v>
      </c>
      <c r="H122" s="9"/>
      <c r="I122" s="7"/>
      <c r="J122" s="8"/>
    </row>
    <row r="123" spans="1:10" x14ac:dyDescent="0.3">
      <c r="A123">
        <f t="shared" si="11"/>
        <v>91</v>
      </c>
      <c r="B123">
        <f t="shared" si="6"/>
        <v>0.5</v>
      </c>
      <c r="C123">
        <f t="shared" si="7"/>
        <v>45.5</v>
      </c>
      <c r="D123">
        <f t="shared" si="8"/>
        <v>45.5</v>
      </c>
      <c r="E123">
        <f t="shared" si="9"/>
        <v>16415.887552960248</v>
      </c>
      <c r="F123">
        <f t="shared" si="10"/>
        <v>180.39436871384888</v>
      </c>
    </row>
    <row r="124" spans="1:10" x14ac:dyDescent="0.3">
      <c r="A124">
        <f t="shared" si="11"/>
        <v>92</v>
      </c>
      <c r="B124">
        <f t="shared" si="6"/>
        <v>0.5</v>
      </c>
      <c r="C124">
        <f t="shared" si="7"/>
        <v>46</v>
      </c>
      <c r="D124">
        <f t="shared" si="8"/>
        <v>46</v>
      </c>
      <c r="E124">
        <f t="shared" si="9"/>
        <v>16580.563555997451</v>
      </c>
      <c r="F124">
        <f t="shared" si="10"/>
        <v>180.22351691301577</v>
      </c>
    </row>
    <row r="125" spans="1:10" x14ac:dyDescent="0.3">
      <c r="A125">
        <f t="shared" si="11"/>
        <v>93</v>
      </c>
      <c r="B125">
        <f t="shared" si="6"/>
        <v>0.5</v>
      </c>
      <c r="C125">
        <f t="shared" si="7"/>
        <v>46.5</v>
      </c>
      <c r="D125">
        <f t="shared" si="8"/>
        <v>46.5</v>
      </c>
      <c r="E125">
        <f t="shared" si="9"/>
        <v>16745.08443971739</v>
      </c>
      <c r="F125">
        <f t="shared" si="10"/>
        <v>180.05467139481064</v>
      </c>
    </row>
    <row r="126" spans="1:10" x14ac:dyDescent="0.3">
      <c r="A126">
        <f t="shared" si="11"/>
        <v>94</v>
      </c>
      <c r="B126">
        <f t="shared" si="6"/>
        <v>0.5</v>
      </c>
      <c r="C126">
        <f t="shared" si="7"/>
        <v>47</v>
      </c>
      <c r="D126">
        <f t="shared" si="8"/>
        <v>47</v>
      </c>
      <c r="E126">
        <f t="shared" si="9"/>
        <v>16909.452015906478</v>
      </c>
      <c r="F126">
        <f t="shared" si="10"/>
        <v>179.8877874032604</v>
      </c>
    </row>
    <row r="127" spans="1:10" x14ac:dyDescent="0.3">
      <c r="A127">
        <f t="shared" si="11"/>
        <v>95</v>
      </c>
      <c r="B127">
        <f t="shared" si="6"/>
        <v>0.5</v>
      </c>
      <c r="C127">
        <f t="shared" si="7"/>
        <v>47.5</v>
      </c>
      <c r="D127">
        <f t="shared" si="8"/>
        <v>47.5</v>
      </c>
      <c r="E127">
        <f t="shared" si="9"/>
        <v>17073.668056147733</v>
      </c>
      <c r="F127">
        <f t="shared" si="10"/>
        <v>179.72282164366035</v>
      </c>
    </row>
    <row r="128" spans="1:10" x14ac:dyDescent="0.3">
      <c r="A128">
        <f t="shared" si="11"/>
        <v>96</v>
      </c>
      <c r="B128">
        <f t="shared" si="6"/>
        <v>0.5</v>
      </c>
      <c r="C128">
        <f t="shared" si="7"/>
        <v>48</v>
      </c>
      <c r="D128">
        <f t="shared" si="8"/>
        <v>48</v>
      </c>
      <c r="E128">
        <f t="shared" si="9"/>
        <v>17237.734293126428</v>
      </c>
      <c r="F128">
        <f t="shared" si="10"/>
        <v>179.55973222006696</v>
      </c>
    </row>
    <row r="129" spans="1:6" x14ac:dyDescent="0.3">
      <c r="A129">
        <f t="shared" si="11"/>
        <v>97</v>
      </c>
      <c r="B129">
        <f t="shared" si="6"/>
        <v>0.5</v>
      </c>
      <c r="C129">
        <f t="shared" si="7"/>
        <v>48.5</v>
      </c>
      <c r="D129">
        <f t="shared" si="8"/>
        <v>48.5</v>
      </c>
      <c r="E129">
        <f t="shared" si="9"/>
        <v>17401.652421880386</v>
      </c>
      <c r="F129">
        <f t="shared" si="10"/>
        <v>179.39847857608646</v>
      </c>
    </row>
    <row r="130" spans="1:6" x14ac:dyDescent="0.3">
      <c r="A130">
        <f t="shared" si="11"/>
        <v>98</v>
      </c>
      <c r="B130">
        <f t="shared" si="6"/>
        <v>0.5</v>
      </c>
      <c r="C130">
        <f t="shared" si="7"/>
        <v>49</v>
      </c>
      <c r="D130">
        <f t="shared" si="8"/>
        <v>49</v>
      </c>
      <c r="E130">
        <f t="shared" si="9"/>
        <v>17565.424100997538</v>
      </c>
      <c r="F130">
        <f t="shared" si="10"/>
        <v>179.23902143875037</v>
      </c>
    </row>
    <row r="131" spans="1:6" x14ac:dyDescent="0.3">
      <c r="A131">
        <f t="shared" si="11"/>
        <v>99</v>
      </c>
      <c r="B131">
        <f t="shared" si="6"/>
        <v>0.5</v>
      </c>
      <c r="C131">
        <f t="shared" si="7"/>
        <v>49.5</v>
      </c>
      <c r="D131">
        <f t="shared" si="8"/>
        <v>49.5</v>
      </c>
      <c r="E131">
        <f t="shared" si="9"/>
        <v>17729.050953763457</v>
      </c>
      <c r="F131">
        <f t="shared" si="10"/>
        <v>179.08132276528744</v>
      </c>
    </row>
    <row r="132" spans="1:6" x14ac:dyDescent="0.3">
      <c r="A132">
        <f t="shared" si="11"/>
        <v>100</v>
      </c>
      <c r="B132">
        <f t="shared" si="6"/>
        <v>0.5</v>
      </c>
      <c r="C132">
        <f t="shared" si="7"/>
        <v>50</v>
      </c>
      <c r="D132">
        <f t="shared" si="8"/>
        <v>50</v>
      </c>
      <c r="E132">
        <f t="shared" si="9"/>
        <v>17892.534569261803</v>
      </c>
      <c r="F132">
        <f t="shared" si="10"/>
        <v>178.92534569261804</v>
      </c>
    </row>
    <row r="133" spans="1:6" x14ac:dyDescent="0.3">
      <c r="A133">
        <f t="shared" si="11"/>
        <v>101</v>
      </c>
      <c r="B133">
        <f t="shared" si="6"/>
        <v>0.5</v>
      </c>
      <c r="C133">
        <f t="shared" si="7"/>
        <v>50.5</v>
      </c>
      <c r="D133">
        <f t="shared" si="8"/>
        <v>50.5</v>
      </c>
      <c r="E133">
        <f t="shared" si="9"/>
        <v>18055.876503429445</v>
      </c>
      <c r="F133">
        <f t="shared" si="10"/>
        <v>178.77105448940046</v>
      </c>
    </row>
    <row r="134" spans="1:6" x14ac:dyDescent="0.3">
      <c r="A134">
        <f t="shared" si="11"/>
        <v>102</v>
      </c>
      <c r="B134">
        <f t="shared" si="6"/>
        <v>0.5</v>
      </c>
      <c r="C134">
        <f t="shared" si="7"/>
        <v>51</v>
      </c>
      <c r="D134">
        <f t="shared" si="8"/>
        <v>51</v>
      </c>
      <c r="E134">
        <f t="shared" si="9"/>
        <v>18219.078280069269</v>
      </c>
      <c r="F134">
        <f t="shared" si="10"/>
        <v>178.61841451048303</v>
      </c>
    </row>
    <row r="135" spans="1:6" x14ac:dyDescent="0.3">
      <c r="A135">
        <f t="shared" si="11"/>
        <v>103</v>
      </c>
      <c r="B135">
        <f t="shared" si="6"/>
        <v>0.5</v>
      </c>
      <c r="C135">
        <f t="shared" si="7"/>
        <v>51.5</v>
      </c>
      <c r="D135">
        <f t="shared" si="8"/>
        <v>51.5</v>
      </c>
      <c r="E135">
        <f t="shared" si="9"/>
        <v>18382.141391822192</v>
      </c>
      <c r="F135">
        <f t="shared" si="10"/>
        <v>178.4673921536135</v>
      </c>
    </row>
    <row r="136" spans="1:6" x14ac:dyDescent="0.3">
      <c r="A136">
        <f t="shared" si="11"/>
        <v>104</v>
      </c>
      <c r="B136">
        <f t="shared" si="6"/>
        <v>0.5</v>
      </c>
      <c r="C136">
        <f t="shared" si="7"/>
        <v>52</v>
      </c>
      <c r="D136">
        <f t="shared" si="8"/>
        <v>52</v>
      </c>
      <c r="E136">
        <f t="shared" si="9"/>
        <v>18545.067301100677</v>
      </c>
      <c r="F136">
        <f t="shared" si="10"/>
        <v>178.31795481827572</v>
      </c>
    </row>
    <row r="137" spans="1:6" x14ac:dyDescent="0.3">
      <c r="A137">
        <f t="shared" si="11"/>
        <v>105</v>
      </c>
      <c r="B137">
        <f t="shared" si="6"/>
        <v>0.5</v>
      </c>
      <c r="C137">
        <f t="shared" si="7"/>
        <v>52.5</v>
      </c>
      <c r="D137">
        <f t="shared" si="8"/>
        <v>52.5</v>
      </c>
      <c r="E137">
        <f t="shared" si="9"/>
        <v>18707.857440985601</v>
      </c>
      <c r="F137">
        <f t="shared" si="10"/>
        <v>178.17007086652953</v>
      </c>
    </row>
    <row r="138" spans="1:6" x14ac:dyDescent="0.3">
      <c r="A138">
        <f t="shared" si="11"/>
        <v>106</v>
      </c>
      <c r="B138">
        <f t="shared" si="6"/>
        <v>0.5</v>
      </c>
      <c r="C138">
        <f t="shared" si="7"/>
        <v>53</v>
      </c>
      <c r="D138">
        <f t="shared" si="8"/>
        <v>53</v>
      </c>
      <c r="E138">
        <f t="shared" si="9"/>
        <v>18870.513216088253</v>
      </c>
      <c r="F138">
        <f t="shared" si="10"/>
        <v>178.02370958573823</v>
      </c>
    </row>
    <row r="139" spans="1:6" x14ac:dyDescent="0.3">
      <c r="A139">
        <f t="shared" si="11"/>
        <v>107</v>
      </c>
      <c r="B139">
        <f t="shared" si="6"/>
        <v>0.5</v>
      </c>
      <c r="C139">
        <f t="shared" si="7"/>
        <v>53.5</v>
      </c>
      <c r="D139">
        <f t="shared" si="8"/>
        <v>53.5</v>
      </c>
      <c r="E139">
        <f t="shared" si="9"/>
        <v>19033.036003378958</v>
      </c>
      <c r="F139">
        <f t="shared" si="10"/>
        <v>177.87884115307438</v>
      </c>
    </row>
    <row r="140" spans="1:6" x14ac:dyDescent="0.3">
      <c r="A140">
        <f t="shared" si="11"/>
        <v>108</v>
      </c>
      <c r="B140">
        <f t="shared" si="6"/>
        <v>0.5</v>
      </c>
      <c r="C140">
        <f t="shared" si="7"/>
        <v>54</v>
      </c>
      <c r="D140">
        <f t="shared" si="8"/>
        <v>54</v>
      </c>
      <c r="E140">
        <f t="shared" si="9"/>
        <v>19195.427152984375</v>
      </c>
      <c r="F140">
        <f t="shared" si="10"/>
        <v>177.73543660170719</v>
      </c>
    </row>
    <row r="141" spans="1:6" x14ac:dyDescent="0.3">
      <c r="A141">
        <f t="shared" si="11"/>
        <v>109</v>
      </c>
      <c r="B141">
        <f t="shared" si="6"/>
        <v>0.5</v>
      </c>
      <c r="C141">
        <f t="shared" si="7"/>
        <v>54.5</v>
      </c>
      <c r="D141">
        <f t="shared" si="8"/>
        <v>54.5</v>
      </c>
      <c r="E141">
        <f t="shared" si="9"/>
        <v>19357.687988954178</v>
      </c>
      <c r="F141">
        <f t="shared" si="10"/>
        <v>177.59346778857045</v>
      </c>
    </row>
    <row r="142" spans="1:6" x14ac:dyDescent="0.3">
      <c r="A142">
        <f t="shared" si="11"/>
        <v>110</v>
      </c>
      <c r="B142">
        <f t="shared" si="6"/>
        <v>0.5</v>
      </c>
      <c r="C142">
        <f t="shared" si="7"/>
        <v>55</v>
      </c>
      <c r="D142">
        <f t="shared" si="8"/>
        <v>55</v>
      </c>
      <c r="E142">
        <f t="shared" si="9"/>
        <v>19519.819809999532</v>
      </c>
      <c r="F142">
        <f t="shared" si="10"/>
        <v>177.45290736363211</v>
      </c>
    </row>
    <row r="143" spans="1:6" x14ac:dyDescent="0.3">
      <c r="A143">
        <f t="shared" si="11"/>
        <v>111</v>
      </c>
      <c r="B143">
        <f t="shared" si="6"/>
        <v>0.5</v>
      </c>
      <c r="C143">
        <f t="shared" si="7"/>
        <v>55.5</v>
      </c>
      <c r="D143">
        <f t="shared" si="8"/>
        <v>55.5</v>
      </c>
      <c r="E143">
        <f t="shared" si="9"/>
        <v>19681.823890203672</v>
      </c>
      <c r="F143">
        <f t="shared" si="10"/>
        <v>177.31372874057362</v>
      </c>
    </row>
    <row r="144" spans="1:6" x14ac:dyDescent="0.3">
      <c r="A144">
        <f t="shared" si="11"/>
        <v>112</v>
      </c>
      <c r="B144">
        <f t="shared" si="6"/>
        <v>0.5</v>
      </c>
      <c r="C144">
        <f t="shared" si="7"/>
        <v>56</v>
      </c>
      <c r="D144">
        <f t="shared" si="8"/>
        <v>56</v>
      </c>
      <c r="E144">
        <f t="shared" si="9"/>
        <v>19843.701479706629</v>
      </c>
      <c r="F144">
        <f t="shared" si="10"/>
        <v>177.17590606880918</v>
      </c>
    </row>
    <row r="145" spans="1:6" x14ac:dyDescent="0.3">
      <c r="A145">
        <f t="shared" si="11"/>
        <v>113</v>
      </c>
      <c r="B145">
        <f t="shared" si="6"/>
        <v>0.5</v>
      </c>
      <c r="C145">
        <f t="shared" si="7"/>
        <v>56.5</v>
      </c>
      <c r="D145">
        <f t="shared" si="8"/>
        <v>56.5</v>
      </c>
      <c r="E145">
        <f t="shared" si="9"/>
        <v>20005.453805364865</v>
      </c>
      <c r="F145">
        <f t="shared" si="10"/>
        <v>177.03941420676873</v>
      </c>
    </row>
    <row r="146" spans="1:6" x14ac:dyDescent="0.3">
      <c r="A146">
        <f t="shared" si="11"/>
        <v>114</v>
      </c>
      <c r="B146">
        <f t="shared" si="6"/>
        <v>0.5</v>
      </c>
      <c r="C146">
        <f t="shared" si="7"/>
        <v>57</v>
      </c>
      <c r="D146">
        <f t="shared" si="8"/>
        <v>57</v>
      </c>
      <c r="E146">
        <f t="shared" si="9"/>
        <v>20167.082071387023</v>
      </c>
      <c r="F146">
        <f t="shared" si="10"/>
        <v>176.9042286963774</v>
      </c>
    </row>
    <row r="147" spans="1:6" x14ac:dyDescent="0.3">
      <c r="A147">
        <f t="shared" si="11"/>
        <v>115</v>
      </c>
      <c r="B147">
        <f t="shared" si="6"/>
        <v>0.5</v>
      </c>
      <c r="C147">
        <f t="shared" si="7"/>
        <v>57.5</v>
      </c>
      <c r="D147">
        <f t="shared" si="8"/>
        <v>57.5</v>
      </c>
      <c r="E147">
        <f t="shared" si="9"/>
        <v>20328.587459947015</v>
      </c>
      <c r="F147">
        <f t="shared" si="10"/>
        <v>176.7703257386697</v>
      </c>
    </row>
    <row r="148" spans="1:6" x14ac:dyDescent="0.3">
      <c r="A148">
        <f t="shared" si="11"/>
        <v>116</v>
      </c>
      <c r="B148">
        <f t="shared" si="6"/>
        <v>0.5</v>
      </c>
      <c r="C148">
        <f t="shared" si="7"/>
        <v>58</v>
      </c>
      <c r="D148">
        <f t="shared" si="8"/>
        <v>58</v>
      </c>
      <c r="E148">
        <f t="shared" si="9"/>
        <v>20489.971131775193</v>
      </c>
      <c r="F148">
        <f t="shared" si="10"/>
        <v>176.63768217047581</v>
      </c>
    </row>
    <row r="149" spans="1:6" x14ac:dyDescent="0.3">
      <c r="A149">
        <f t="shared" si="11"/>
        <v>117</v>
      </c>
      <c r="B149">
        <f t="shared" si="6"/>
        <v>0.5</v>
      </c>
      <c r="C149">
        <f t="shared" si="7"/>
        <v>58.5</v>
      </c>
      <c r="D149">
        <f t="shared" si="8"/>
        <v>58.5</v>
      </c>
      <c r="E149">
        <f t="shared" si="9"/>
        <v>20651.234226728877</v>
      </c>
      <c r="F149">
        <f t="shared" si="10"/>
        <v>176.50627544212716</v>
      </c>
    </row>
    <row r="150" spans="1:6" x14ac:dyDescent="0.3">
      <c r="A150">
        <f t="shared" si="11"/>
        <v>118</v>
      </c>
      <c r="B150">
        <f t="shared" si="6"/>
        <v>0.5</v>
      </c>
      <c r="C150">
        <f t="shared" si="7"/>
        <v>59</v>
      </c>
      <c r="D150">
        <f t="shared" si="8"/>
        <v>59</v>
      </c>
      <c r="E150">
        <f t="shared" si="9"/>
        <v>20812.377864342681</v>
      </c>
      <c r="F150">
        <f t="shared" si="10"/>
        <v>176.37608359612443</v>
      </c>
    </row>
    <row r="151" spans="1:6" x14ac:dyDescent="0.3">
      <c r="A151">
        <f t="shared" si="11"/>
        <v>119</v>
      </c>
      <c r="B151">
        <f t="shared" si="6"/>
        <v>0.5</v>
      </c>
      <c r="C151">
        <f t="shared" si="7"/>
        <v>59.5</v>
      </c>
      <c r="D151">
        <f t="shared" si="8"/>
        <v>59.5</v>
      </c>
      <c r="E151">
        <f t="shared" si="9"/>
        <v>20973.403144360102</v>
      </c>
      <c r="F151">
        <f t="shared" si="10"/>
        <v>176.24708524672354</v>
      </c>
    </row>
    <row r="152" spans="1:6" x14ac:dyDescent="0.3">
      <c r="A152">
        <f t="shared" si="11"/>
        <v>120</v>
      </c>
      <c r="B152">
        <f t="shared" si="6"/>
        <v>0.5</v>
      </c>
      <c r="C152">
        <f t="shared" si="7"/>
        <v>60</v>
      </c>
      <c r="D152">
        <f t="shared" si="8"/>
        <v>60</v>
      </c>
      <c r="E152">
        <f t="shared" si="9"/>
        <v>21134.311147246659</v>
      </c>
      <c r="F152">
        <f t="shared" si="10"/>
        <v>176.11925956038883</v>
      </c>
    </row>
    <row r="153" spans="1:6" x14ac:dyDescent="0.3">
      <c r="A153">
        <f t="shared" si="11"/>
        <v>121</v>
      </c>
      <c r="B153">
        <f t="shared" si="6"/>
        <v>0.5</v>
      </c>
      <c r="C153">
        <f t="shared" si="7"/>
        <v>60.5</v>
      </c>
      <c r="D153">
        <f t="shared" si="8"/>
        <v>60.5</v>
      </c>
      <c r="E153">
        <f t="shared" si="9"/>
        <v>21295.102934685594</v>
      </c>
      <c r="F153">
        <f t="shared" si="10"/>
        <v>175.99258623707104</v>
      </c>
    </row>
    <row r="154" spans="1:6" x14ac:dyDescent="0.3">
      <c r="A154">
        <f t="shared" si="11"/>
        <v>122</v>
      </c>
      <c r="B154">
        <f t="shared" si="6"/>
        <v>0.5</v>
      </c>
      <c r="C154">
        <f t="shared" si="7"/>
        <v>61</v>
      </c>
      <c r="D154">
        <f t="shared" si="8"/>
        <v>61</v>
      </c>
      <c r="E154">
        <f t="shared" si="9"/>
        <v>21455.779550056886</v>
      </c>
      <c r="F154">
        <f t="shared" si="10"/>
        <v>175.86704549226957</v>
      </c>
    </row>
    <row r="155" spans="1:6" x14ac:dyDescent="0.3">
      <c r="A155">
        <f t="shared" si="11"/>
        <v>123</v>
      </c>
      <c r="B155">
        <f t="shared" si="6"/>
        <v>0.5</v>
      </c>
      <c r="C155">
        <f t="shared" si="7"/>
        <v>61.5</v>
      </c>
      <c r="D155">
        <f t="shared" si="8"/>
        <v>61.5</v>
      </c>
      <c r="E155">
        <f t="shared" si="9"/>
        <v>21616.342018900181</v>
      </c>
      <c r="F155">
        <f t="shared" si="10"/>
        <v>175.74261803983887</v>
      </c>
    </row>
    <row r="156" spans="1:6" x14ac:dyDescent="0.3">
      <c r="A156">
        <f t="shared" si="11"/>
        <v>124</v>
      </c>
      <c r="B156">
        <f t="shared" si="6"/>
        <v>0.5</v>
      </c>
      <c r="C156">
        <f t="shared" si="7"/>
        <v>62</v>
      </c>
      <c r="D156">
        <f t="shared" si="8"/>
        <v>62</v>
      </c>
      <c r="E156">
        <f t="shared" si="9"/>
        <v>21776.791349362382</v>
      </c>
      <c r="F156">
        <f t="shared" si="10"/>
        <v>175.61928507550309</v>
      </c>
    </row>
    <row r="157" spans="1:6" x14ac:dyDescent="0.3">
      <c r="A157">
        <f t="shared" si="11"/>
        <v>125</v>
      </c>
      <c r="B157">
        <f t="shared" si="6"/>
        <v>0.5</v>
      </c>
      <c r="C157">
        <f t="shared" si="7"/>
        <v>62.5</v>
      </c>
      <c r="D157">
        <f t="shared" si="8"/>
        <v>62.5</v>
      </c>
      <c r="E157">
        <f t="shared" si="9"/>
        <v>21937.128532630417</v>
      </c>
      <c r="F157">
        <f t="shared" si="10"/>
        <v>175.49702826104334</v>
      </c>
    </row>
    <row r="158" spans="1:6" x14ac:dyDescent="0.3">
      <c r="A158">
        <f t="shared" si="11"/>
        <v>126</v>
      </c>
      <c r="B158">
        <f t="shared" si="6"/>
        <v>0.5</v>
      </c>
      <c r="C158">
        <f t="shared" si="7"/>
        <v>63</v>
      </c>
      <c r="D158">
        <f t="shared" si="8"/>
        <v>63</v>
      </c>
      <c r="E158">
        <f t="shared" si="9"/>
        <v>22097.354543349968</v>
      </c>
      <c r="F158">
        <f t="shared" si="10"/>
        <v>175.37582970912672</v>
      </c>
    </row>
    <row r="159" spans="1:6" x14ac:dyDescent="0.3">
      <c r="A159">
        <f t="shared" si="11"/>
        <v>127</v>
      </c>
      <c r="B159">
        <f t="shared" si="6"/>
        <v>0.5</v>
      </c>
      <c r="C159">
        <f t="shared" si="7"/>
        <v>63.5</v>
      </c>
      <c r="D159">
        <f t="shared" si="8"/>
        <v>63.5</v>
      </c>
      <c r="E159">
        <f t="shared" si="9"/>
        <v>22257.470340030541</v>
      </c>
      <c r="F159">
        <f t="shared" si="10"/>
        <v>175.25567196874442</v>
      </c>
    </row>
    <row r="160" spans="1:6" x14ac:dyDescent="0.3">
      <c r="A160">
        <f t="shared" si="11"/>
        <v>128</v>
      </c>
      <c r="B160">
        <f t="shared" si="6"/>
        <v>0.5</v>
      </c>
      <c r="C160">
        <f t="shared" si="7"/>
        <v>64</v>
      </c>
      <c r="D160">
        <f t="shared" si="8"/>
        <v>64</v>
      </c>
      <c r="E160">
        <f t="shared" si="9"/>
        <v>22417.476865437544</v>
      </c>
      <c r="F160">
        <f t="shared" si="10"/>
        <v>175.13653801123081</v>
      </c>
    </row>
    <row r="161" spans="1:6" x14ac:dyDescent="0.3">
      <c r="A161">
        <f t="shared" si="11"/>
        <v>129</v>
      </c>
      <c r="B161">
        <f t="shared" si="6"/>
        <v>0.5</v>
      </c>
      <c r="C161">
        <f t="shared" si="7"/>
        <v>64.5</v>
      </c>
      <c r="D161">
        <f t="shared" si="8"/>
        <v>64.5</v>
      </c>
      <c r="E161">
        <f t="shared" si="9"/>
        <v>22577.375046971862</v>
      </c>
      <c r="F161">
        <f t="shared" si="10"/>
        <v>175.01841121683614</v>
      </c>
    </row>
    <row r="162" spans="1:6" x14ac:dyDescent="0.3">
      <c r="A162">
        <f t="shared" si="11"/>
        <v>130</v>
      </c>
      <c r="B162">
        <f t="shared" ref="B162:B225" si="12">$B$4</f>
        <v>0.5</v>
      </c>
      <c r="C162">
        <f t="shared" ref="C162:C225" si="13">A162*B162</f>
        <v>65</v>
      </c>
      <c r="D162">
        <f t="shared" ref="D162:D225" si="14">A162*B162</f>
        <v>65</v>
      </c>
      <c r="E162">
        <f t="shared" ref="E162:E225" si="15">266.73*A162^0.9133</f>
        <v>22737.165797037324</v>
      </c>
      <c r="F162">
        <f t="shared" ref="F162:F225" si="16">E162/A162</f>
        <v>174.90127536182555</v>
      </c>
    </row>
    <row r="163" spans="1:6" x14ac:dyDescent="0.3">
      <c r="A163">
        <f t="shared" ref="A163:A215" si="17">A162+1</f>
        <v>131</v>
      </c>
      <c r="B163">
        <f t="shared" si="12"/>
        <v>0.5</v>
      </c>
      <c r="C163">
        <f t="shared" si="13"/>
        <v>65.5</v>
      </c>
      <c r="D163">
        <f t="shared" si="14"/>
        <v>65.5</v>
      </c>
      <c r="E163">
        <f t="shared" si="15"/>
        <v>22896.85001339671</v>
      </c>
      <c r="F163">
        <f t="shared" si="16"/>
        <v>174.78511460608175</v>
      </c>
    </row>
    <row r="164" spans="1:6" x14ac:dyDescent="0.3">
      <c r="A164">
        <f t="shared" si="17"/>
        <v>132</v>
      </c>
      <c r="B164">
        <f t="shared" si="12"/>
        <v>0.5</v>
      </c>
      <c r="C164">
        <f t="shared" si="13"/>
        <v>66</v>
      </c>
      <c r="D164">
        <f t="shared" si="14"/>
        <v>66</v>
      </c>
      <c r="E164">
        <f t="shared" si="15"/>
        <v>23056.428579516749</v>
      </c>
      <c r="F164">
        <f t="shared" si="16"/>
        <v>174.66991348118748</v>
      </c>
    </row>
    <row r="165" spans="1:6" x14ac:dyDescent="0.3">
      <c r="A165">
        <f t="shared" si="17"/>
        <v>133</v>
      </c>
      <c r="B165">
        <f t="shared" si="12"/>
        <v>0.5</v>
      </c>
      <c r="C165">
        <f t="shared" si="13"/>
        <v>66.5</v>
      </c>
      <c r="D165">
        <f t="shared" si="14"/>
        <v>66.5</v>
      </c>
      <c r="E165">
        <f t="shared" si="15"/>
        <v>23215.902364902107</v>
      </c>
      <c r="F165">
        <f t="shared" si="16"/>
        <v>174.55565687896322</v>
      </c>
    </row>
    <row r="166" spans="1:6" x14ac:dyDescent="0.3">
      <c r="A166">
        <f t="shared" si="17"/>
        <v>134</v>
      </c>
      <c r="B166">
        <f t="shared" si="12"/>
        <v>0.5</v>
      </c>
      <c r="C166">
        <f t="shared" si="13"/>
        <v>67</v>
      </c>
      <c r="D166">
        <f t="shared" si="14"/>
        <v>67</v>
      </c>
      <c r="E166">
        <f t="shared" si="15"/>
        <v>23375.2722254195</v>
      </c>
      <c r="F166">
        <f t="shared" si="16"/>
        <v>174.44233004044403</v>
      </c>
    </row>
    <row r="167" spans="1:6" x14ac:dyDescent="0.3">
      <c r="A167">
        <f t="shared" si="17"/>
        <v>135</v>
      </c>
      <c r="B167">
        <f t="shared" si="12"/>
        <v>0.5</v>
      </c>
      <c r="C167">
        <f t="shared" si="13"/>
        <v>67.5</v>
      </c>
      <c r="D167">
        <f t="shared" si="14"/>
        <v>67.5</v>
      </c>
      <c r="E167">
        <f t="shared" si="15"/>
        <v>23534.539003611677</v>
      </c>
      <c r="F167">
        <f t="shared" si="16"/>
        <v>174.32991854527168</v>
      </c>
    </row>
    <row r="168" spans="1:6" x14ac:dyDescent="0.3">
      <c r="A168">
        <f t="shared" si="17"/>
        <v>136</v>
      </c>
      <c r="B168">
        <f t="shared" si="12"/>
        <v>0.5</v>
      </c>
      <c r="C168">
        <f t="shared" si="13"/>
        <v>68</v>
      </c>
      <c r="D168">
        <f t="shared" si="14"/>
        <v>68</v>
      </c>
      <c r="E168">
        <f t="shared" si="15"/>
        <v>23693.703529002029</v>
      </c>
      <c r="F168">
        <f t="shared" si="16"/>
        <v>174.21840830148551</v>
      </c>
    </row>
    <row r="169" spans="1:6" x14ac:dyDescent="0.3">
      <c r="A169">
        <f t="shared" si="17"/>
        <v>137</v>
      </c>
      <c r="B169">
        <f t="shared" si="12"/>
        <v>0.5</v>
      </c>
      <c r="C169">
        <f t="shared" si="13"/>
        <v>68.5</v>
      </c>
      <c r="D169">
        <f t="shared" si="14"/>
        <v>68.5</v>
      </c>
      <c r="E169">
        <f t="shared" si="15"/>
        <v>23852.766618389927</v>
      </c>
      <c r="F169">
        <f t="shared" si="16"/>
        <v>174.1077855356929</v>
      </c>
    </row>
    <row r="170" spans="1:6" x14ac:dyDescent="0.3">
      <c r="A170">
        <f t="shared" si="17"/>
        <v>138</v>
      </c>
      <c r="B170">
        <f t="shared" si="12"/>
        <v>0.5</v>
      </c>
      <c r="C170">
        <f t="shared" si="13"/>
        <v>69</v>
      </c>
      <c r="D170">
        <f t="shared" si="14"/>
        <v>69</v>
      </c>
      <c r="E170">
        <f t="shared" si="15"/>
        <v>24011.729076137381</v>
      </c>
      <c r="F170">
        <f t="shared" si="16"/>
        <v>173.99803678360422</v>
      </c>
    </row>
    <row r="171" spans="1:6" x14ac:dyDescent="0.3">
      <c r="A171">
        <f t="shared" si="17"/>
        <v>139</v>
      </c>
      <c r="B171">
        <f t="shared" si="12"/>
        <v>0.5</v>
      </c>
      <c r="C171">
        <f t="shared" si="13"/>
        <v>69.5</v>
      </c>
      <c r="D171">
        <f t="shared" si="14"/>
        <v>69.5</v>
      </c>
      <c r="E171">
        <f t="shared" si="15"/>
        <v>24170.591694447139</v>
      </c>
      <c r="F171">
        <f t="shared" si="16"/>
        <v>173.88914888091466</v>
      </c>
    </row>
    <row r="172" spans="1:6" x14ac:dyDescent="0.3">
      <c r="A172">
        <f t="shared" si="17"/>
        <v>140</v>
      </c>
      <c r="B172">
        <f t="shared" si="12"/>
        <v>0.5</v>
      </c>
      <c r="C172">
        <f t="shared" si="13"/>
        <v>70</v>
      </c>
      <c r="D172">
        <f t="shared" si="14"/>
        <v>70</v>
      </c>
      <c r="E172">
        <f t="shared" si="15"/>
        <v>24329.355253632628</v>
      </c>
      <c r="F172">
        <f t="shared" si="16"/>
        <v>173.78110895451877</v>
      </c>
    </row>
    <row r="173" spans="1:6" x14ac:dyDescent="0.3">
      <c r="A173">
        <f t="shared" si="17"/>
        <v>141</v>
      </c>
      <c r="B173">
        <f t="shared" si="12"/>
        <v>0.5</v>
      </c>
      <c r="C173">
        <f t="shared" si="13"/>
        <v>70.5</v>
      </c>
      <c r="D173">
        <f t="shared" si="14"/>
        <v>70.5</v>
      </c>
      <c r="E173">
        <f t="shared" si="15"/>
        <v>24488.02052238</v>
      </c>
      <c r="F173">
        <f t="shared" si="16"/>
        <v>173.67390441404257</v>
      </c>
    </row>
    <row r="174" spans="1:6" x14ac:dyDescent="0.3">
      <c r="A174">
        <f t="shared" si="17"/>
        <v>142</v>
      </c>
      <c r="B174">
        <f t="shared" si="12"/>
        <v>0.5</v>
      </c>
      <c r="C174">
        <f t="shared" si="13"/>
        <v>71</v>
      </c>
      <c r="D174">
        <f t="shared" si="14"/>
        <v>71</v>
      </c>
      <c r="E174">
        <f t="shared" si="15"/>
        <v>24646.588258002597</v>
      </c>
      <c r="F174">
        <f t="shared" si="16"/>
        <v>173.56752294368027</v>
      </c>
    </row>
    <row r="175" spans="1:6" x14ac:dyDescent="0.3">
      <c r="A175">
        <f t="shared" si="17"/>
        <v>143</v>
      </c>
      <c r="B175">
        <f t="shared" si="12"/>
        <v>0.5</v>
      </c>
      <c r="C175">
        <f t="shared" si="13"/>
        <v>71.5</v>
      </c>
      <c r="D175">
        <f t="shared" si="14"/>
        <v>71.5</v>
      </c>
      <c r="E175">
        <f t="shared" si="15"/>
        <v>24805.059206688118</v>
      </c>
      <c r="F175">
        <f t="shared" si="16"/>
        <v>173.4619524943225</v>
      </c>
    </row>
    <row r="176" spans="1:6" x14ac:dyDescent="0.3">
      <c r="A176">
        <f t="shared" si="17"/>
        <v>144</v>
      </c>
      <c r="B176">
        <f t="shared" si="12"/>
        <v>0.5</v>
      </c>
      <c r="C176">
        <f t="shared" si="13"/>
        <v>72</v>
      </c>
      <c r="D176">
        <f t="shared" si="14"/>
        <v>72</v>
      </c>
      <c r="E176">
        <f t="shared" si="15"/>
        <v>24963.434103738731</v>
      </c>
      <c r="F176">
        <f t="shared" si="16"/>
        <v>173.3571812759634</v>
      </c>
    </row>
    <row r="177" spans="1:6" x14ac:dyDescent="0.3">
      <c r="A177">
        <f t="shared" si="17"/>
        <v>145</v>
      </c>
      <c r="B177">
        <f t="shared" si="12"/>
        <v>0.5</v>
      </c>
      <c r="C177">
        <f t="shared" si="13"/>
        <v>72.5</v>
      </c>
      <c r="D177">
        <f t="shared" si="14"/>
        <v>72.5</v>
      </c>
      <c r="E177">
        <f t="shared" si="15"/>
        <v>25121.713673804254</v>
      </c>
      <c r="F177">
        <f t="shared" si="16"/>
        <v>173.25319775037417</v>
      </c>
    </row>
    <row r="178" spans="1:6" x14ac:dyDescent="0.3">
      <c r="A178">
        <f t="shared" si="17"/>
        <v>146</v>
      </c>
      <c r="B178">
        <f t="shared" si="12"/>
        <v>0.5</v>
      </c>
      <c r="C178">
        <f t="shared" si="13"/>
        <v>73</v>
      </c>
      <c r="D178">
        <f t="shared" si="14"/>
        <v>73</v>
      </c>
      <c r="E178">
        <f t="shared" si="15"/>
        <v>25279.898631108972</v>
      </c>
      <c r="F178">
        <f t="shared" si="16"/>
        <v>173.14999062403405</v>
      </c>
    </row>
    <row r="179" spans="1:6" x14ac:dyDescent="0.3">
      <c r="A179">
        <f t="shared" si="17"/>
        <v>147</v>
      </c>
      <c r="B179">
        <f t="shared" si="12"/>
        <v>0.5</v>
      </c>
      <c r="C179">
        <f t="shared" si="13"/>
        <v>73.5</v>
      </c>
      <c r="D179">
        <f t="shared" si="14"/>
        <v>73.5</v>
      </c>
      <c r="E179">
        <f t="shared" si="15"/>
        <v>25437.989679671879</v>
      </c>
      <c r="F179">
        <f t="shared" si="16"/>
        <v>173.04754884130529</v>
      </c>
    </row>
    <row r="180" spans="1:6" x14ac:dyDescent="0.3">
      <c r="A180">
        <f t="shared" si="17"/>
        <v>148</v>
      </c>
      <c r="B180">
        <f t="shared" si="12"/>
        <v>0.5</v>
      </c>
      <c r="C180">
        <f t="shared" si="13"/>
        <v>74</v>
      </c>
      <c r="D180">
        <f t="shared" si="14"/>
        <v>74</v>
      </c>
      <c r="E180">
        <f t="shared" si="15"/>
        <v>25595.987513521028</v>
      </c>
      <c r="F180">
        <f t="shared" si="16"/>
        <v>172.94586157784479</v>
      </c>
    </row>
    <row r="181" spans="1:6" x14ac:dyDescent="0.3">
      <c r="A181">
        <f t="shared" si="17"/>
        <v>149</v>
      </c>
      <c r="B181">
        <f t="shared" si="12"/>
        <v>0.5</v>
      </c>
      <c r="C181">
        <f t="shared" si="13"/>
        <v>74.5</v>
      </c>
      <c r="D181">
        <f t="shared" si="14"/>
        <v>74.5</v>
      </c>
      <c r="E181">
        <f t="shared" si="15"/>
        <v>25753.89281690176</v>
      </c>
      <c r="F181">
        <f t="shared" si="16"/>
        <v>172.84491823424</v>
      </c>
    </row>
    <row r="182" spans="1:6" x14ac:dyDescent="0.3">
      <c r="A182">
        <f t="shared" si="17"/>
        <v>150</v>
      </c>
      <c r="B182">
        <f t="shared" si="12"/>
        <v>0.5</v>
      </c>
      <c r="C182">
        <f t="shared" si="13"/>
        <v>75</v>
      </c>
      <c r="D182">
        <f t="shared" si="14"/>
        <v>75</v>
      </c>
      <c r="E182">
        <f t="shared" si="15"/>
        <v>25911.706264479311</v>
      </c>
      <c r="F182">
        <f t="shared" si="16"/>
        <v>172.74470842986207</v>
      </c>
    </row>
    <row r="183" spans="1:6" x14ac:dyDescent="0.3">
      <c r="A183">
        <f t="shared" si="17"/>
        <v>151</v>
      </c>
      <c r="B183">
        <f t="shared" si="12"/>
        <v>0.5</v>
      </c>
      <c r="C183">
        <f t="shared" si="13"/>
        <v>75.5</v>
      </c>
      <c r="D183">
        <f t="shared" si="14"/>
        <v>75.5</v>
      </c>
      <c r="E183">
        <f t="shared" si="15"/>
        <v>26069.428521536014</v>
      </c>
      <c r="F183">
        <f t="shared" si="16"/>
        <v>172.64522199692723</v>
      </c>
    </row>
    <row r="184" spans="1:6" x14ac:dyDescent="0.3">
      <c r="A184">
        <f t="shared" si="17"/>
        <v>152</v>
      </c>
      <c r="B184">
        <f t="shared" si="12"/>
        <v>0.5</v>
      </c>
      <c r="C184">
        <f t="shared" si="13"/>
        <v>76</v>
      </c>
      <c r="D184">
        <f t="shared" si="14"/>
        <v>76</v>
      </c>
      <c r="E184">
        <f t="shared" si="15"/>
        <v>26227.06024416288</v>
      </c>
      <c r="F184">
        <f t="shared" si="16"/>
        <v>172.54644897475578</v>
      </c>
    </row>
    <row r="185" spans="1:6" x14ac:dyDescent="0.3">
      <c r="A185">
        <f t="shared" si="17"/>
        <v>153</v>
      </c>
      <c r="B185">
        <f t="shared" si="12"/>
        <v>0.5</v>
      </c>
      <c r="C185">
        <f t="shared" si="13"/>
        <v>76.5</v>
      </c>
      <c r="D185">
        <f t="shared" si="14"/>
        <v>76.5</v>
      </c>
      <c r="E185">
        <f t="shared" si="15"/>
        <v>26384.602079446326</v>
      </c>
      <c r="F185">
        <f t="shared" si="16"/>
        <v>172.44837960422436</v>
      </c>
    </row>
    <row r="186" spans="1:6" x14ac:dyDescent="0.3">
      <c r="A186">
        <f t="shared" si="17"/>
        <v>154</v>
      </c>
      <c r="B186">
        <f t="shared" si="12"/>
        <v>0.5</v>
      </c>
      <c r="C186">
        <f t="shared" si="13"/>
        <v>77</v>
      </c>
      <c r="D186">
        <f t="shared" si="14"/>
        <v>77</v>
      </c>
      <c r="E186">
        <f t="shared" si="15"/>
        <v>26542.054665649779</v>
      </c>
      <c r="F186">
        <f t="shared" si="16"/>
        <v>172.35100432240117</v>
      </c>
    </row>
    <row r="187" spans="1:6" x14ac:dyDescent="0.3">
      <c r="A187">
        <f t="shared" si="17"/>
        <v>155</v>
      </c>
      <c r="B187">
        <f t="shared" si="12"/>
        <v>0.5</v>
      </c>
      <c r="C187">
        <f t="shared" si="13"/>
        <v>77.5</v>
      </c>
      <c r="D187">
        <f t="shared" si="14"/>
        <v>77.5</v>
      </c>
      <c r="E187">
        <f t="shared" si="15"/>
        <v>26699.41863239036</v>
      </c>
      <c r="F187">
        <f t="shared" si="16"/>
        <v>172.25431375735715</v>
      </c>
    </row>
    <row r="188" spans="1:6" x14ac:dyDescent="0.3">
      <c r="A188">
        <f t="shared" si="17"/>
        <v>156</v>
      </c>
      <c r="B188">
        <f t="shared" si="12"/>
        <v>0.5</v>
      </c>
      <c r="C188">
        <f t="shared" si="13"/>
        <v>78</v>
      </c>
      <c r="D188">
        <f t="shared" si="14"/>
        <v>78</v>
      </c>
      <c r="E188">
        <f t="shared" si="15"/>
        <v>26856.694600811206</v>
      </c>
      <c r="F188">
        <f t="shared" si="16"/>
        <v>172.15829872314876</v>
      </c>
    </row>
    <row r="189" spans="1:6" x14ac:dyDescent="0.3">
      <c r="A189">
        <f t="shared" si="17"/>
        <v>157</v>
      </c>
      <c r="B189">
        <f t="shared" si="12"/>
        <v>0.5</v>
      </c>
      <c r="C189">
        <f t="shared" si="13"/>
        <v>78.5</v>
      </c>
      <c r="D189">
        <f t="shared" si="14"/>
        <v>78.5</v>
      </c>
      <c r="E189">
        <f t="shared" si="15"/>
        <v>27013.883183749003</v>
      </c>
      <c r="F189">
        <f t="shared" si="16"/>
        <v>172.0629502149618</v>
      </c>
    </row>
    <row r="190" spans="1:6" x14ac:dyDescent="0.3">
      <c r="A190">
        <f t="shared" si="17"/>
        <v>158</v>
      </c>
      <c r="B190">
        <f t="shared" si="12"/>
        <v>0.5</v>
      </c>
      <c r="C190">
        <f t="shared" si="13"/>
        <v>79</v>
      </c>
      <c r="D190">
        <f t="shared" si="14"/>
        <v>79</v>
      </c>
      <c r="E190">
        <f t="shared" si="15"/>
        <v>27170.984985897212</v>
      </c>
      <c r="F190">
        <f t="shared" si="16"/>
        <v>171.96825940441275</v>
      </c>
    </row>
    <row r="191" spans="1:6" x14ac:dyDescent="0.3">
      <c r="A191">
        <f t="shared" si="17"/>
        <v>159</v>
      </c>
      <c r="B191">
        <f t="shared" si="12"/>
        <v>0.5</v>
      </c>
      <c r="C191">
        <f t="shared" si="13"/>
        <v>79.5</v>
      </c>
      <c r="D191">
        <f t="shared" si="14"/>
        <v>79.5</v>
      </c>
      <c r="E191">
        <f t="shared" si="15"/>
        <v>27328.00060396516</v>
      </c>
      <c r="F191">
        <f t="shared" si="16"/>
        <v>171.874217635001</v>
      </c>
    </row>
    <row r="192" spans="1:6" x14ac:dyDescent="0.3">
      <c r="A192">
        <f t="shared" si="17"/>
        <v>160</v>
      </c>
      <c r="B192">
        <f t="shared" si="12"/>
        <v>0.5</v>
      </c>
      <c r="C192">
        <f t="shared" si="13"/>
        <v>80</v>
      </c>
      <c r="D192">
        <f t="shared" si="14"/>
        <v>80</v>
      </c>
      <c r="E192">
        <f t="shared" si="15"/>
        <v>27484.930626833044</v>
      </c>
      <c r="F192">
        <f t="shared" si="16"/>
        <v>171.78081641770652</v>
      </c>
    </row>
    <row r="193" spans="1:6" x14ac:dyDescent="0.3">
      <c r="A193">
        <f t="shared" si="17"/>
        <v>161</v>
      </c>
      <c r="B193">
        <f t="shared" si="12"/>
        <v>0.5</v>
      </c>
      <c r="C193">
        <f t="shared" si="13"/>
        <v>80.5</v>
      </c>
      <c r="D193">
        <f t="shared" si="14"/>
        <v>80.5</v>
      </c>
      <c r="E193">
        <f t="shared" si="15"/>
        <v>27641.775635702899</v>
      </c>
      <c r="F193">
        <f t="shared" si="16"/>
        <v>171.68804742672609</v>
      </c>
    </row>
    <row r="194" spans="1:6" x14ac:dyDescent="0.3">
      <c r="A194">
        <f t="shared" si="17"/>
        <v>162</v>
      </c>
      <c r="B194">
        <f t="shared" si="12"/>
        <v>0.5</v>
      </c>
      <c r="C194">
        <f t="shared" si="13"/>
        <v>81</v>
      </c>
      <c r="D194">
        <f t="shared" si="14"/>
        <v>81</v>
      </c>
      <c r="E194">
        <f t="shared" si="15"/>
        <v>27798.536204245673</v>
      </c>
      <c r="F194">
        <f t="shared" si="16"/>
        <v>171.59590249534367</v>
      </c>
    </row>
    <row r="195" spans="1:6" x14ac:dyDescent="0.3">
      <c r="A195">
        <f t="shared" si="17"/>
        <v>163</v>
      </c>
      <c r="B195">
        <f t="shared" si="12"/>
        <v>0.5</v>
      </c>
      <c r="C195">
        <f t="shared" si="13"/>
        <v>81.5</v>
      </c>
      <c r="D195">
        <f t="shared" si="14"/>
        <v>81.5</v>
      </c>
      <c r="E195">
        <f t="shared" si="15"/>
        <v>27955.212898744881</v>
      </c>
      <c r="F195">
        <f t="shared" si="16"/>
        <v>171.50437361193178</v>
      </c>
    </row>
    <row r="196" spans="1:6" x14ac:dyDescent="0.3">
      <c r="A196">
        <f t="shared" si="17"/>
        <v>164</v>
      </c>
      <c r="B196">
        <f t="shared" si="12"/>
        <v>0.5</v>
      </c>
      <c r="C196">
        <f t="shared" si="13"/>
        <v>82</v>
      </c>
      <c r="D196">
        <f t="shared" si="14"/>
        <v>82</v>
      </c>
      <c r="E196">
        <f t="shared" si="15"/>
        <v>28111.806278236309</v>
      </c>
      <c r="F196">
        <f t="shared" si="16"/>
        <v>171.41345291607504</v>
      </c>
    </row>
    <row r="197" spans="1:6" x14ac:dyDescent="0.3">
      <c r="A197">
        <f t="shared" si="17"/>
        <v>165</v>
      </c>
      <c r="B197">
        <f t="shared" si="12"/>
        <v>0.5</v>
      </c>
      <c r="C197">
        <f t="shared" si="13"/>
        <v>82.5</v>
      </c>
      <c r="D197">
        <f t="shared" si="14"/>
        <v>82.5</v>
      </c>
      <c r="E197">
        <f t="shared" si="15"/>
        <v>28268.316894644417</v>
      </c>
      <c r="F197">
        <f t="shared" si="16"/>
        <v>171.32313269481466</v>
      </c>
    </row>
    <row r="198" spans="1:6" x14ac:dyDescent="0.3">
      <c r="A198">
        <f t="shared" si="17"/>
        <v>166</v>
      </c>
      <c r="B198">
        <f t="shared" si="12"/>
        <v>0.5</v>
      </c>
      <c r="C198">
        <f t="shared" si="13"/>
        <v>83</v>
      </c>
      <c r="D198">
        <f t="shared" si="14"/>
        <v>83</v>
      </c>
      <c r="E198">
        <f t="shared" si="15"/>
        <v>28424.745292915413</v>
      </c>
      <c r="F198">
        <f t="shared" si="16"/>
        <v>171.2334053790085</v>
      </c>
    </row>
    <row r="199" spans="1:6" x14ac:dyDescent="0.3">
      <c r="A199">
        <f t="shared" si="17"/>
        <v>167</v>
      </c>
      <c r="B199">
        <f t="shared" si="12"/>
        <v>0.5</v>
      </c>
      <c r="C199">
        <f t="shared" si="13"/>
        <v>83.5</v>
      </c>
      <c r="D199">
        <f t="shared" si="14"/>
        <v>83.5</v>
      </c>
      <c r="E199">
        <f t="shared" si="15"/>
        <v>28581.09201114692</v>
      </c>
      <c r="F199">
        <f t="shared" si="16"/>
        <v>171.14426353980193</v>
      </c>
    </row>
    <row r="200" spans="1:6" x14ac:dyDescent="0.3">
      <c r="A200">
        <f t="shared" si="17"/>
        <v>168</v>
      </c>
      <c r="B200">
        <f t="shared" si="12"/>
        <v>0.5</v>
      </c>
      <c r="C200">
        <f t="shared" si="13"/>
        <v>84</v>
      </c>
      <c r="D200">
        <f t="shared" si="14"/>
        <v>84</v>
      </c>
      <c r="E200">
        <f t="shared" si="15"/>
        <v>28737.357580714535</v>
      </c>
      <c r="F200">
        <f t="shared" si="16"/>
        <v>171.05569988520557</v>
      </c>
    </row>
    <row r="201" spans="1:6" x14ac:dyDescent="0.3">
      <c r="A201">
        <f t="shared" si="17"/>
        <v>169</v>
      </c>
      <c r="B201">
        <f t="shared" si="12"/>
        <v>0.5</v>
      </c>
      <c r="C201">
        <f t="shared" si="13"/>
        <v>84.5</v>
      </c>
      <c r="D201">
        <f t="shared" si="14"/>
        <v>84.5</v>
      </c>
      <c r="E201">
        <f t="shared" si="15"/>
        <v>28893.542526395322</v>
      </c>
      <c r="F201">
        <f t="shared" si="16"/>
        <v>170.96770725677706</v>
      </c>
    </row>
    <row r="202" spans="1:6" x14ac:dyDescent="0.3">
      <c r="A202">
        <f t="shared" si="17"/>
        <v>170</v>
      </c>
      <c r="B202">
        <f t="shared" si="12"/>
        <v>0.5</v>
      </c>
      <c r="C202">
        <f t="shared" si="13"/>
        <v>85</v>
      </c>
      <c r="D202">
        <f t="shared" si="14"/>
        <v>85</v>
      </c>
      <c r="E202">
        <f t="shared" si="15"/>
        <v>29049.647366488291</v>
      </c>
      <c r="F202">
        <f t="shared" si="16"/>
        <v>170.88027862640172</v>
      </c>
    </row>
    <row r="203" spans="1:6" x14ac:dyDescent="0.3">
      <c r="A203">
        <f t="shared" si="17"/>
        <v>171</v>
      </c>
      <c r="B203">
        <f t="shared" si="12"/>
        <v>0.5</v>
      </c>
      <c r="C203">
        <f t="shared" si="13"/>
        <v>85.5</v>
      </c>
      <c r="D203">
        <f t="shared" si="14"/>
        <v>85.5</v>
      </c>
      <c r="E203">
        <f t="shared" si="15"/>
        <v>29205.672612931998</v>
      </c>
      <c r="F203">
        <f t="shared" si="16"/>
        <v>170.79340709316958</v>
      </c>
    </row>
    <row r="204" spans="1:6" x14ac:dyDescent="0.3">
      <c r="A204">
        <f t="shared" si="17"/>
        <v>172</v>
      </c>
      <c r="B204">
        <f t="shared" si="12"/>
        <v>0.5</v>
      </c>
      <c r="C204">
        <f t="shared" si="13"/>
        <v>86</v>
      </c>
      <c r="D204">
        <f t="shared" si="14"/>
        <v>86</v>
      </c>
      <c r="E204">
        <f t="shared" si="15"/>
        <v>29361.618771419304</v>
      </c>
      <c r="F204">
        <f t="shared" si="16"/>
        <v>170.70708588034478</v>
      </c>
    </row>
    <row r="205" spans="1:6" x14ac:dyDescent="0.3">
      <c r="A205">
        <f t="shared" si="17"/>
        <v>173</v>
      </c>
      <c r="B205">
        <f t="shared" si="12"/>
        <v>0.5</v>
      </c>
      <c r="C205">
        <f t="shared" si="13"/>
        <v>86.5</v>
      </c>
      <c r="D205">
        <f t="shared" si="14"/>
        <v>86.5</v>
      </c>
      <c r="E205">
        <f t="shared" si="15"/>
        <v>29517.48634150955</v>
      </c>
      <c r="F205">
        <f t="shared" si="16"/>
        <v>170.62130833242514</v>
      </c>
    </row>
    <row r="206" spans="1:6" x14ac:dyDescent="0.3">
      <c r="A206">
        <f t="shared" si="17"/>
        <v>174</v>
      </c>
      <c r="B206">
        <f t="shared" si="12"/>
        <v>0.5</v>
      </c>
      <c r="C206">
        <f t="shared" si="13"/>
        <v>87</v>
      </c>
      <c r="D206">
        <f t="shared" si="14"/>
        <v>87</v>
      </c>
      <c r="E206">
        <f t="shared" si="15"/>
        <v>29673.275816737751</v>
      </c>
      <c r="F206">
        <f t="shared" si="16"/>
        <v>170.53606791228592</v>
      </c>
    </row>
    <row r="207" spans="1:6" x14ac:dyDescent="0.3">
      <c r="A207">
        <f t="shared" si="17"/>
        <v>175</v>
      </c>
      <c r="B207">
        <f t="shared" si="12"/>
        <v>0.5</v>
      </c>
      <c r="C207">
        <f t="shared" si="13"/>
        <v>87.5</v>
      </c>
      <c r="D207">
        <f t="shared" si="14"/>
        <v>87.5</v>
      </c>
      <c r="E207">
        <f t="shared" si="15"/>
        <v>29828.987684721666</v>
      </c>
      <c r="F207">
        <f t="shared" si="16"/>
        <v>170.45135819840951</v>
      </c>
    </row>
    <row r="208" spans="1:6" x14ac:dyDescent="0.3">
      <c r="A208">
        <f t="shared" si="17"/>
        <v>176</v>
      </c>
      <c r="B208">
        <f t="shared" si="12"/>
        <v>0.5</v>
      </c>
      <c r="C208">
        <f t="shared" si="13"/>
        <v>88</v>
      </c>
      <c r="D208">
        <f t="shared" si="14"/>
        <v>88</v>
      </c>
      <c r="E208">
        <f t="shared" si="15"/>
        <v>29984.62242726596</v>
      </c>
      <c r="F208">
        <f t="shared" si="16"/>
        <v>170.36717288219296</v>
      </c>
    </row>
    <row r="209" spans="1:6" x14ac:dyDescent="0.3">
      <c r="A209">
        <f t="shared" si="17"/>
        <v>177</v>
      </c>
      <c r="B209">
        <f t="shared" si="12"/>
        <v>0.5</v>
      </c>
      <c r="C209">
        <f t="shared" si="13"/>
        <v>88.5</v>
      </c>
      <c r="D209">
        <f t="shared" si="14"/>
        <v>88.5</v>
      </c>
      <c r="E209">
        <f t="shared" si="15"/>
        <v>30140.180520464306</v>
      </c>
      <c r="F209">
        <f t="shared" si="16"/>
        <v>170.28350576533506</v>
      </c>
    </row>
    <row r="210" spans="1:6" x14ac:dyDescent="0.3">
      <c r="A210">
        <f t="shared" si="17"/>
        <v>178</v>
      </c>
      <c r="B210">
        <f t="shared" si="12"/>
        <v>0.5</v>
      </c>
      <c r="C210">
        <f t="shared" si="13"/>
        <v>89</v>
      </c>
      <c r="D210">
        <f t="shared" si="14"/>
        <v>89</v>
      </c>
      <c r="E210">
        <f t="shared" si="15"/>
        <v>30295.66243479884</v>
      </c>
      <c r="F210">
        <f t="shared" si="16"/>
        <v>170.20035075729686</v>
      </c>
    </row>
    <row r="211" spans="1:6" x14ac:dyDescent="0.3">
      <c r="A211">
        <f t="shared" si="17"/>
        <v>179</v>
      </c>
      <c r="B211">
        <f t="shared" si="12"/>
        <v>0.5</v>
      </c>
      <c r="C211">
        <f t="shared" si="13"/>
        <v>89.5</v>
      </c>
      <c r="D211">
        <f t="shared" si="14"/>
        <v>89.5</v>
      </c>
      <c r="E211">
        <f t="shared" si="15"/>
        <v>30451.068635237432</v>
      </c>
      <c r="F211">
        <f t="shared" si="16"/>
        <v>170.11770187283483</v>
      </c>
    </row>
    <row r="212" spans="1:6" x14ac:dyDescent="0.3">
      <c r="A212">
        <f t="shared" si="17"/>
        <v>180</v>
      </c>
      <c r="B212">
        <f t="shared" si="12"/>
        <v>0.5</v>
      </c>
      <c r="C212">
        <f t="shared" si="13"/>
        <v>90</v>
      </c>
      <c r="D212">
        <f t="shared" si="14"/>
        <v>90</v>
      </c>
      <c r="E212">
        <f t="shared" si="15"/>
        <v>30606.399581328864</v>
      </c>
      <c r="F212">
        <f t="shared" si="16"/>
        <v>170.0355532296048</v>
      </c>
    </row>
    <row r="213" spans="1:6" x14ac:dyDescent="0.3">
      <c r="A213">
        <f t="shared" si="17"/>
        <v>181</v>
      </c>
      <c r="B213">
        <f t="shared" si="12"/>
        <v>0.5</v>
      </c>
      <c r="C213">
        <f t="shared" si="13"/>
        <v>90.5</v>
      </c>
      <c r="D213">
        <f t="shared" si="14"/>
        <v>90.5</v>
      </c>
      <c r="E213">
        <f t="shared" si="15"/>
        <v>30761.655727295591</v>
      </c>
      <c r="F213">
        <f t="shared" si="16"/>
        <v>169.953899045832</v>
      </c>
    </row>
    <row r="214" spans="1:6" x14ac:dyDescent="0.3">
      <c r="A214">
        <f t="shared" si="17"/>
        <v>182</v>
      </c>
      <c r="B214">
        <f t="shared" si="12"/>
        <v>0.5</v>
      </c>
      <c r="C214">
        <f t="shared" si="13"/>
        <v>91</v>
      </c>
      <c r="D214">
        <f t="shared" si="14"/>
        <v>91</v>
      </c>
      <c r="E214">
        <f t="shared" si="15"/>
        <v>30916.837522124697</v>
      </c>
      <c r="F214">
        <f t="shared" si="16"/>
        <v>169.87273363804778</v>
      </c>
    </row>
    <row r="215" spans="1:6" x14ac:dyDescent="0.3">
      <c r="A215">
        <f t="shared" si="17"/>
        <v>183</v>
      </c>
      <c r="B215">
        <f t="shared" si="12"/>
        <v>0.5</v>
      </c>
      <c r="C215">
        <f t="shared" si="13"/>
        <v>91.5</v>
      </c>
      <c r="D215">
        <f t="shared" si="14"/>
        <v>91.5</v>
      </c>
      <c r="E215">
        <f t="shared" si="15"/>
        <v>31071.945409656615</v>
      </c>
      <c r="F215">
        <f t="shared" si="16"/>
        <v>169.7920514188886</v>
      </c>
    </row>
    <row r="216" spans="1:6" x14ac:dyDescent="0.3">
      <c r="A216">
        <f>A215+1</f>
        <v>184</v>
      </c>
      <c r="B216">
        <f t="shared" si="12"/>
        <v>0.5</v>
      </c>
      <c r="C216">
        <f t="shared" si="13"/>
        <v>92</v>
      </c>
      <c r="D216">
        <f t="shared" si="14"/>
        <v>92</v>
      </c>
      <c r="E216">
        <f t="shared" si="15"/>
        <v>31226.979828671865</v>
      </c>
      <c r="F216">
        <f t="shared" si="16"/>
        <v>169.71184689495578</v>
      </c>
    </row>
    <row r="217" spans="1:6" x14ac:dyDescent="0.3">
      <c r="A217">
        <f t="shared" ref="A217:A232" si="18">A216+1</f>
        <v>185</v>
      </c>
      <c r="B217">
        <f t="shared" si="12"/>
        <v>0.5</v>
      </c>
      <c r="C217">
        <f t="shared" si="13"/>
        <v>92.5</v>
      </c>
      <c r="D217">
        <f t="shared" si="14"/>
        <v>92.5</v>
      </c>
      <c r="E217">
        <f t="shared" si="15"/>
        <v>31381.941212975958</v>
      </c>
      <c r="F217">
        <f t="shared" si="16"/>
        <v>169.6321146647349</v>
      </c>
    </row>
    <row r="218" spans="1:6" x14ac:dyDescent="0.3">
      <c r="A218">
        <f t="shared" si="18"/>
        <v>186</v>
      </c>
      <c r="B218">
        <f t="shared" si="12"/>
        <v>0.5</v>
      </c>
      <c r="C218">
        <f t="shared" si="13"/>
        <v>93</v>
      </c>
      <c r="D218">
        <f t="shared" si="14"/>
        <v>93</v>
      </c>
      <c r="E218">
        <f t="shared" si="15"/>
        <v>31536.829991482478</v>
      </c>
      <c r="F218">
        <f t="shared" si="16"/>
        <v>169.55284941657246</v>
      </c>
    </row>
    <row r="219" spans="1:6" x14ac:dyDescent="0.3">
      <c r="A219">
        <f t="shared" si="18"/>
        <v>187</v>
      </c>
      <c r="B219">
        <f t="shared" si="12"/>
        <v>0.5</v>
      </c>
      <c r="C219">
        <f t="shared" si="13"/>
        <v>93.5</v>
      </c>
      <c r="D219">
        <f t="shared" si="14"/>
        <v>93.5</v>
      </c>
      <c r="E219">
        <f t="shared" si="15"/>
        <v>31691.646588294028</v>
      </c>
      <c r="F219">
        <f t="shared" si="16"/>
        <v>169.47404592670603</v>
      </c>
    </row>
    <row r="220" spans="1:6" x14ac:dyDescent="0.3">
      <c r="A220">
        <f t="shared" si="18"/>
        <v>188</v>
      </c>
      <c r="B220">
        <f t="shared" si="12"/>
        <v>0.5</v>
      </c>
      <c r="C220">
        <f t="shared" si="13"/>
        <v>94</v>
      </c>
      <c r="D220">
        <f t="shared" si="14"/>
        <v>94</v>
      </c>
      <c r="E220">
        <f t="shared" si="15"/>
        <v>31846.39142278185</v>
      </c>
      <c r="F220">
        <f t="shared" si="16"/>
        <v>169.39569905735027</v>
      </c>
    </row>
    <row r="221" spans="1:6" x14ac:dyDescent="0.3">
      <c r="A221">
        <f t="shared" si="18"/>
        <v>189</v>
      </c>
      <c r="B221">
        <f t="shared" si="12"/>
        <v>0.5</v>
      </c>
      <c r="C221">
        <f t="shared" si="13"/>
        <v>94.5</v>
      </c>
      <c r="D221">
        <f t="shared" si="14"/>
        <v>94.5</v>
      </c>
      <c r="E221">
        <f t="shared" si="15"/>
        <v>32001.064909663346</v>
      </c>
      <c r="F221">
        <f t="shared" si="16"/>
        <v>169.31780375483251</v>
      </c>
    </row>
    <row r="222" spans="1:6" x14ac:dyDescent="0.3">
      <c r="A222">
        <f t="shared" si="18"/>
        <v>190</v>
      </c>
      <c r="B222">
        <f t="shared" si="12"/>
        <v>0.5</v>
      </c>
      <c r="C222">
        <f t="shared" si="13"/>
        <v>95</v>
      </c>
      <c r="D222">
        <f t="shared" si="14"/>
        <v>95</v>
      </c>
      <c r="E222">
        <f t="shared" si="15"/>
        <v>32155.667459078166</v>
      </c>
      <c r="F222">
        <f t="shared" si="16"/>
        <v>169.24035504777981</v>
      </c>
    </row>
    <row r="223" spans="1:6" x14ac:dyDescent="0.3">
      <c r="A223">
        <f t="shared" si="18"/>
        <v>191</v>
      </c>
      <c r="B223">
        <f t="shared" si="12"/>
        <v>0.5</v>
      </c>
      <c r="C223">
        <f t="shared" si="13"/>
        <v>95.5</v>
      </c>
      <c r="D223">
        <f t="shared" si="14"/>
        <v>95.5</v>
      </c>
      <c r="E223">
        <f t="shared" si="15"/>
        <v>32310.199476662441</v>
      </c>
      <c r="F223">
        <f t="shared" si="16"/>
        <v>169.1633480453531</v>
      </c>
    </row>
    <row r="224" spans="1:6" x14ac:dyDescent="0.3">
      <c r="A224">
        <f t="shared" si="18"/>
        <v>192</v>
      </c>
      <c r="B224">
        <f t="shared" si="12"/>
        <v>0.5</v>
      </c>
      <c r="C224">
        <f t="shared" si="13"/>
        <v>96</v>
      </c>
      <c r="D224">
        <f t="shared" si="14"/>
        <v>96</v>
      </c>
      <c r="E224">
        <f t="shared" si="15"/>
        <v>32464.661363621693</v>
      </c>
      <c r="F224">
        <f t="shared" si="16"/>
        <v>169.08677793552965</v>
      </c>
    </row>
    <row r="225" spans="1:6" x14ac:dyDescent="0.3">
      <c r="A225">
        <f t="shared" si="18"/>
        <v>193</v>
      </c>
      <c r="B225">
        <f t="shared" si="12"/>
        <v>0.5</v>
      </c>
      <c r="C225">
        <f t="shared" si="13"/>
        <v>96.5</v>
      </c>
      <c r="D225">
        <f t="shared" si="14"/>
        <v>96.5</v>
      </c>
      <c r="E225">
        <f t="shared" si="15"/>
        <v>32619.053516801941</v>
      </c>
      <c r="F225">
        <f t="shared" si="16"/>
        <v>169.01063998342974</v>
      </c>
    </row>
    <row r="226" spans="1:6" x14ac:dyDescent="0.3">
      <c r="A226">
        <f t="shared" si="18"/>
        <v>194</v>
      </c>
      <c r="B226">
        <f t="shared" ref="B226:B232" si="19">$B$4</f>
        <v>0.5</v>
      </c>
      <c r="C226">
        <f t="shared" ref="C226:C232" si="20">A226*B226</f>
        <v>97</v>
      </c>
      <c r="D226">
        <f t="shared" ref="D226:D232" si="21">A226*B226</f>
        <v>97</v>
      </c>
      <c r="E226">
        <f t="shared" ref="E226:E232" si="22">266.73*A226^0.9133</f>
        <v>32773.376328759412</v>
      </c>
      <c r="F226">
        <f t="shared" ref="F226:F232" si="23">E226/A226</f>
        <v>168.93492952968768</v>
      </c>
    </row>
    <row r="227" spans="1:6" x14ac:dyDescent="0.3">
      <c r="A227">
        <f t="shared" si="18"/>
        <v>195</v>
      </c>
      <c r="B227">
        <f t="shared" si="19"/>
        <v>0.5</v>
      </c>
      <c r="C227">
        <f t="shared" si="20"/>
        <v>97.5</v>
      </c>
      <c r="D227">
        <f t="shared" si="21"/>
        <v>97.5</v>
      </c>
      <c r="E227">
        <f t="shared" si="22"/>
        <v>32927.630187828909</v>
      </c>
      <c r="F227">
        <f t="shared" si="23"/>
        <v>168.8596419888662</v>
      </c>
    </row>
    <row r="228" spans="1:6" x14ac:dyDescent="0.3">
      <c r="A228">
        <f t="shared" si="18"/>
        <v>196</v>
      </c>
      <c r="B228">
        <f t="shared" si="19"/>
        <v>0.5</v>
      </c>
      <c r="C228">
        <f t="shared" si="20"/>
        <v>98</v>
      </c>
      <c r="D228">
        <f t="shared" si="21"/>
        <v>98</v>
      </c>
      <c r="E228">
        <f t="shared" si="22"/>
        <v>33081.815478190409</v>
      </c>
      <c r="F228">
        <f t="shared" si="23"/>
        <v>168.78477284791026</v>
      </c>
    </row>
    <row r="229" spans="1:6" x14ac:dyDescent="0.3">
      <c r="A229">
        <f t="shared" si="18"/>
        <v>197</v>
      </c>
      <c r="B229">
        <f t="shared" si="19"/>
        <v>0.5</v>
      </c>
      <c r="C229">
        <f t="shared" si="20"/>
        <v>98.5</v>
      </c>
      <c r="D229">
        <f t="shared" si="21"/>
        <v>98.5</v>
      </c>
      <c r="E229">
        <f t="shared" si="22"/>
        <v>33235.932579934728</v>
      </c>
      <c r="F229">
        <f t="shared" si="23"/>
        <v>168.7103176646433</v>
      </c>
    </row>
    <row r="230" spans="1:6" x14ac:dyDescent="0.3">
      <c r="A230">
        <f t="shared" si="18"/>
        <v>198</v>
      </c>
      <c r="B230">
        <f t="shared" si="19"/>
        <v>0.5</v>
      </c>
      <c r="C230">
        <f t="shared" si="20"/>
        <v>99</v>
      </c>
      <c r="D230">
        <f t="shared" si="21"/>
        <v>99</v>
      </c>
      <c r="E230">
        <f t="shared" si="22"/>
        <v>33389.981869127267</v>
      </c>
      <c r="F230">
        <f t="shared" si="23"/>
        <v>168.63627206629931</v>
      </c>
    </row>
    <row r="231" spans="1:6" x14ac:dyDescent="0.3">
      <c r="A231">
        <f t="shared" si="18"/>
        <v>199</v>
      </c>
      <c r="B231">
        <f t="shared" si="19"/>
        <v>0.5</v>
      </c>
      <c r="C231">
        <f t="shared" si="20"/>
        <v>99.5</v>
      </c>
      <c r="D231">
        <f t="shared" si="21"/>
        <v>99.5</v>
      </c>
      <c r="E231">
        <f t="shared" si="22"/>
        <v>33543.96371787112</v>
      </c>
      <c r="F231">
        <f t="shared" si="23"/>
        <v>168.56263174809607</v>
      </c>
    </row>
    <row r="232" spans="1:6" x14ac:dyDescent="0.3">
      <c r="A232">
        <f t="shared" si="18"/>
        <v>200</v>
      </c>
      <c r="B232">
        <f t="shared" si="19"/>
        <v>0.5</v>
      </c>
      <c r="C232">
        <f t="shared" si="20"/>
        <v>100</v>
      </c>
      <c r="D232">
        <f t="shared" si="21"/>
        <v>100</v>
      </c>
      <c r="E232">
        <f t="shared" si="22"/>
        <v>33697.878494368226</v>
      </c>
      <c r="F232">
        <f t="shared" si="23"/>
        <v>168.48939247184114</v>
      </c>
    </row>
  </sheetData>
  <sortState ref="H31:J121">
    <sortCondition ref="I32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ortiereNachKWH">
                <anchor moveWithCells="1" sizeWithCells="1">
                  <from>
                    <xdr:col>10</xdr:col>
                    <xdr:colOff>609600</xdr:colOff>
                    <xdr:row>34</xdr:row>
                    <xdr:rowOff>45720</xdr:rowOff>
                  </from>
                  <to>
                    <xdr:col>12</xdr:col>
                    <xdr:colOff>548640</xdr:colOff>
                    <xdr:row>36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A8" sqref="A8"/>
    </sheetView>
  </sheetViews>
  <sheetFormatPr baseColWidth="10" defaultRowHeight="14.4" x14ac:dyDescent="0.3"/>
  <sheetData>
    <row r="1" spans="1:1" x14ac:dyDescent="0.3">
      <c r="A1" s="15" t="s">
        <v>17</v>
      </c>
    </row>
    <row r="2" spans="1:1" x14ac:dyDescent="0.3">
      <c r="A2" s="15"/>
    </row>
    <row r="3" spans="1:1" x14ac:dyDescent="0.3">
      <c r="A3" t="s">
        <v>19</v>
      </c>
    </row>
    <row r="4" spans="1:1" x14ac:dyDescent="0.3">
      <c r="A4" t="s">
        <v>18</v>
      </c>
    </row>
    <row r="5" spans="1:1" x14ac:dyDescent="0.3">
      <c r="A5" t="s">
        <v>20</v>
      </c>
    </row>
    <row r="7" spans="1:1" x14ac:dyDescent="0.3">
      <c r="A7" t="s">
        <v>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Pfleiderer</dc:creator>
  <cp:lastModifiedBy>Pfleiderer</cp:lastModifiedBy>
  <dcterms:created xsi:type="dcterms:W3CDTF">2025-11-13T15:04:42Z</dcterms:created>
  <dcterms:modified xsi:type="dcterms:W3CDTF">2025-11-21T11:10:18Z</dcterms:modified>
</cp:coreProperties>
</file>